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HEEM.QUADRI\Documents\R&amp;D\financial_rag\backend\funding\"/>
    </mc:Choice>
  </mc:AlternateContent>
  <bookViews>
    <workbookView xWindow="0" yWindow="0" windowWidth="2364" windowHeight="96" firstSheet="3" activeTab="3"/>
  </bookViews>
  <sheets>
    <sheet name="Summary" sheetId="1" r:id="rId1"/>
    <sheet name="Assumptions" sheetId="2" r:id="rId2"/>
    <sheet name="Line Items" sheetId="3" r:id="rId3"/>
    <sheet name="Monthly Plan" sheetId="4" r:id="rId4"/>
  </sheets>
  <calcPr calcId="162913"/>
</workbook>
</file>

<file path=xl/calcChain.xml><?xml version="1.0" encoding="utf-8"?>
<calcChain xmlns="http://schemas.openxmlformats.org/spreadsheetml/2006/main">
  <c r="M26" i="4" l="1"/>
  <c r="L26" i="4"/>
  <c r="K26" i="4"/>
  <c r="J26" i="4"/>
  <c r="I26" i="4"/>
  <c r="H26" i="4"/>
  <c r="G26" i="4"/>
  <c r="F26" i="4"/>
  <c r="E26" i="4"/>
  <c r="D26" i="4"/>
  <c r="C26" i="4"/>
  <c r="B26" i="4"/>
  <c r="A26" i="4"/>
  <c r="M25" i="4"/>
  <c r="K25" i="4"/>
  <c r="I25" i="4"/>
  <c r="G25" i="4"/>
  <c r="B25" i="4"/>
  <c r="A25" i="4"/>
  <c r="K24" i="4"/>
  <c r="J24" i="4"/>
  <c r="I24" i="4"/>
  <c r="H24" i="4"/>
  <c r="B24" i="4"/>
  <c r="A24" i="4"/>
  <c r="B23" i="4"/>
  <c r="A23" i="4"/>
  <c r="K22" i="4"/>
  <c r="B22" i="4"/>
  <c r="A22" i="4"/>
  <c r="B21" i="4"/>
  <c r="A21" i="4"/>
  <c r="N20" i="4"/>
  <c r="M20" i="4"/>
  <c r="L20" i="4"/>
  <c r="K20" i="4"/>
  <c r="J20" i="4"/>
  <c r="I20" i="4"/>
  <c r="H20" i="4"/>
  <c r="G20" i="4"/>
  <c r="F20" i="4"/>
  <c r="C20" i="4"/>
  <c r="B20" i="4"/>
  <c r="A20" i="4"/>
  <c r="N19" i="4"/>
  <c r="M19" i="4"/>
  <c r="L19" i="4"/>
  <c r="K19" i="4"/>
  <c r="J19" i="4"/>
  <c r="I19" i="4"/>
  <c r="H19" i="4"/>
  <c r="D19" i="4"/>
  <c r="C19" i="4"/>
  <c r="B19" i="4"/>
  <c r="A19" i="4"/>
  <c r="N18" i="4"/>
  <c r="M18" i="4"/>
  <c r="L18" i="4"/>
  <c r="K18" i="4"/>
  <c r="J18" i="4"/>
  <c r="G18" i="4"/>
  <c r="F18" i="4"/>
  <c r="E18" i="4"/>
  <c r="D18" i="4"/>
  <c r="C18" i="4"/>
  <c r="B18" i="4"/>
  <c r="A18" i="4"/>
  <c r="N17" i="4"/>
  <c r="M17" i="4"/>
  <c r="L17" i="4"/>
  <c r="K17" i="4"/>
  <c r="J17" i="4"/>
  <c r="H17" i="4"/>
  <c r="G17" i="4"/>
  <c r="F17" i="4"/>
  <c r="E17" i="4"/>
  <c r="D17" i="4"/>
  <c r="C17" i="4"/>
  <c r="B17" i="4"/>
  <c r="A17" i="4"/>
  <c r="L16" i="4"/>
  <c r="K16" i="4"/>
  <c r="J16" i="4"/>
  <c r="H16" i="4"/>
  <c r="G16" i="4"/>
  <c r="E16" i="4"/>
  <c r="D16" i="4"/>
  <c r="C16" i="4"/>
  <c r="B16" i="4"/>
  <c r="A16" i="4"/>
  <c r="N15" i="4"/>
  <c r="J15" i="4"/>
  <c r="I15" i="4"/>
  <c r="H15" i="4"/>
  <c r="G15" i="4"/>
  <c r="F15" i="4"/>
  <c r="E15" i="4"/>
  <c r="D15" i="4"/>
  <c r="C15" i="4"/>
  <c r="B15" i="4"/>
  <c r="A15" i="4"/>
  <c r="N14" i="4"/>
  <c r="M14" i="4"/>
  <c r="L14" i="4"/>
  <c r="I14" i="4"/>
  <c r="H14" i="4"/>
  <c r="G14" i="4"/>
  <c r="F14" i="4"/>
  <c r="E14" i="4"/>
  <c r="D14" i="4"/>
  <c r="C14" i="4"/>
  <c r="B14" i="4"/>
  <c r="A14" i="4"/>
  <c r="N13" i="4"/>
  <c r="M13" i="4"/>
  <c r="L13" i="4"/>
  <c r="K13" i="4"/>
  <c r="G13" i="4"/>
  <c r="F13" i="4"/>
  <c r="E13" i="4"/>
  <c r="D13" i="4"/>
  <c r="C13" i="4"/>
  <c r="B13" i="4"/>
  <c r="A13" i="4"/>
  <c r="D12" i="4"/>
  <c r="C12" i="4"/>
  <c r="B12" i="4"/>
  <c r="A12" i="4"/>
  <c r="H11" i="4"/>
  <c r="G11" i="4"/>
  <c r="F11" i="4"/>
  <c r="E11" i="4"/>
  <c r="D11" i="4"/>
  <c r="C11" i="4"/>
  <c r="B11" i="4"/>
  <c r="A11" i="4"/>
  <c r="N10" i="4"/>
  <c r="I10" i="4"/>
  <c r="H10" i="4"/>
  <c r="G10" i="4"/>
  <c r="C10" i="4"/>
  <c r="B10" i="4"/>
  <c r="A10" i="4"/>
  <c r="N9" i="4"/>
  <c r="M9" i="4"/>
  <c r="L9" i="4"/>
  <c r="K9" i="4"/>
  <c r="J9" i="4"/>
  <c r="I9" i="4"/>
  <c r="H9" i="4"/>
  <c r="G9" i="4"/>
  <c r="F9" i="4"/>
  <c r="B9" i="4"/>
  <c r="A9" i="4"/>
  <c r="N8" i="4"/>
  <c r="M8" i="4"/>
  <c r="L8" i="4"/>
  <c r="K8" i="4"/>
  <c r="J8" i="4"/>
  <c r="I8" i="4"/>
  <c r="H8" i="4"/>
  <c r="G8" i="4"/>
  <c r="C8" i="4"/>
  <c r="B8" i="4"/>
  <c r="A8" i="4"/>
  <c r="N7" i="4"/>
  <c r="M7" i="4"/>
  <c r="L7" i="4"/>
  <c r="K7" i="4"/>
  <c r="J7" i="4"/>
  <c r="I7" i="4"/>
  <c r="H7" i="4"/>
  <c r="G7" i="4"/>
  <c r="F7" i="4"/>
  <c r="B7" i="4"/>
  <c r="A7" i="4"/>
  <c r="N6" i="4"/>
  <c r="M6" i="4"/>
  <c r="L6" i="4"/>
  <c r="K6" i="4"/>
  <c r="J6" i="4"/>
  <c r="F6" i="4"/>
  <c r="E6" i="4"/>
  <c r="D6" i="4"/>
  <c r="C6" i="4"/>
  <c r="B6" i="4"/>
  <c r="A6" i="4"/>
  <c r="N5" i="4"/>
  <c r="M5" i="4"/>
  <c r="L5" i="4"/>
  <c r="K5" i="4"/>
  <c r="J5" i="4"/>
  <c r="I5" i="4"/>
  <c r="G5" i="4"/>
  <c r="D5" i="4"/>
  <c r="C5" i="4"/>
  <c r="B5" i="4"/>
  <c r="A5" i="4"/>
  <c r="N4" i="4"/>
  <c r="M4" i="4"/>
  <c r="L4" i="4"/>
  <c r="K4" i="4"/>
  <c r="J4" i="4"/>
  <c r="I4" i="4"/>
  <c r="H4" i="4"/>
  <c r="G4" i="4"/>
  <c r="F4" i="4"/>
  <c r="C4" i="4"/>
  <c r="B4" i="4"/>
  <c r="A4" i="4"/>
  <c r="H24" i="3"/>
  <c r="N26" i="4" s="1"/>
  <c r="H23" i="3"/>
  <c r="H25" i="4" s="1"/>
  <c r="H22" i="3"/>
  <c r="F24" i="4" s="1"/>
  <c r="H21" i="3"/>
  <c r="K23" i="4" s="1"/>
  <c r="H20" i="3"/>
  <c r="J22" i="4" s="1"/>
  <c r="H19" i="3"/>
  <c r="F21" i="4" s="1"/>
  <c r="H18" i="3"/>
  <c r="D20" i="4" s="1"/>
  <c r="H17" i="3"/>
  <c r="F19" i="4" s="1"/>
  <c r="H16" i="3"/>
  <c r="H18" i="4" s="1"/>
  <c r="H15" i="3"/>
  <c r="I17" i="4" s="1"/>
  <c r="H14" i="3"/>
  <c r="N16" i="4" s="1"/>
  <c r="H13" i="3"/>
  <c r="M15" i="4" s="1"/>
  <c r="H12" i="3"/>
  <c r="K14" i="4" s="1"/>
  <c r="H11" i="3"/>
  <c r="J13" i="4" s="1"/>
  <c r="H10" i="3"/>
  <c r="I12" i="4" s="1"/>
  <c r="H9" i="3"/>
  <c r="N11" i="4" s="1"/>
  <c r="H8" i="3"/>
  <c r="F10" i="4" s="1"/>
  <c r="H7" i="3"/>
  <c r="E9" i="4" s="1"/>
  <c r="H6" i="3"/>
  <c r="E8" i="4" s="1"/>
  <c r="H5" i="3"/>
  <c r="E7" i="4" s="1"/>
  <c r="H4" i="3"/>
  <c r="I6" i="4" s="1"/>
  <c r="H3" i="3"/>
  <c r="H2" i="3"/>
  <c r="E4" i="4" s="1"/>
  <c r="B10" i="1"/>
  <c r="B9" i="1"/>
  <c r="B8" i="1"/>
  <c r="A2" i="1"/>
  <c r="D4" i="4" l="1"/>
  <c r="M11" i="4"/>
  <c r="J14" i="4"/>
  <c r="K11" i="4"/>
  <c r="M16" i="4"/>
  <c r="C9" i="4"/>
  <c r="D24" i="4"/>
  <c r="G24" i="4"/>
  <c r="E12" i="4"/>
  <c r="D7" i="4"/>
  <c r="F12" i="4"/>
  <c r="L24" i="4"/>
  <c r="I13" i="4"/>
  <c r="K15" i="4"/>
  <c r="M10" i="4"/>
  <c r="O26" i="4"/>
  <c r="O4" i="4"/>
  <c r="H25" i="3"/>
  <c r="D9" i="4"/>
  <c r="O9" i="4" s="1"/>
  <c r="L15" i="4"/>
  <c r="O15" i="4" s="1"/>
  <c r="D25" i="4"/>
  <c r="C7" i="4"/>
  <c r="O7" i="4" s="1"/>
  <c r="I11" i="4"/>
  <c r="F25" i="4"/>
  <c r="O14" i="4"/>
  <c r="E5" i="4"/>
  <c r="F5" i="4"/>
  <c r="F16" i="4"/>
  <c r="G12" i="4"/>
  <c r="L22" i="4"/>
  <c r="J12" i="4"/>
  <c r="K12" i="4"/>
  <c r="N22" i="4"/>
  <c r="L12" i="4"/>
  <c r="B5" i="1"/>
  <c r="J10" i="4"/>
  <c r="M12" i="4"/>
  <c r="B6" i="1"/>
  <c r="K10" i="4"/>
  <c r="N12" i="4"/>
  <c r="O17" i="4"/>
  <c r="H5" i="4"/>
  <c r="H12" i="4"/>
  <c r="M22" i="4"/>
  <c r="B7" i="1"/>
  <c r="L10" i="4"/>
  <c r="G19" i="4"/>
  <c r="H21" i="4"/>
  <c r="D23" i="4"/>
  <c r="I21" i="4"/>
  <c r="J21" i="4"/>
  <c r="F23" i="4"/>
  <c r="E19" i="4"/>
  <c r="C21" i="4"/>
  <c r="D21" i="4"/>
  <c r="G21" i="4"/>
  <c r="C23" i="4"/>
  <c r="E23" i="4"/>
  <c r="K21" i="4"/>
  <c r="G23" i="4"/>
  <c r="C25" i="4"/>
  <c r="I16" i="4"/>
  <c r="M21" i="4"/>
  <c r="I23" i="4"/>
  <c r="E25" i="4"/>
  <c r="J11" i="4"/>
  <c r="N23" i="4"/>
  <c r="J25" i="4"/>
  <c r="I18" i="4"/>
  <c r="O18" i="4" s="1"/>
  <c r="E20" i="4"/>
  <c r="O20" i="4" s="1"/>
  <c r="M23" i="4"/>
  <c r="G6" i="4"/>
  <c r="C22" i="4"/>
  <c r="H6" i="4"/>
  <c r="D8" i="4"/>
  <c r="L11" i="4"/>
  <c r="H13" i="4"/>
  <c r="O13" i="4" s="1"/>
  <c r="D22" i="4"/>
  <c r="L25" i="4"/>
  <c r="L21" i="4"/>
  <c r="N21" i="4"/>
  <c r="L23" i="4"/>
  <c r="F8" i="4"/>
  <c r="F22" i="4"/>
  <c r="N25" i="4"/>
  <c r="E22" i="4"/>
  <c r="G22" i="4"/>
  <c r="C24" i="4"/>
  <c r="D10" i="4"/>
  <c r="H22" i="4"/>
  <c r="E10" i="4"/>
  <c r="I22" i="4"/>
  <c r="E24" i="4"/>
  <c r="E21" i="4"/>
  <c r="M24" i="4"/>
  <c r="N24" i="4"/>
  <c r="H23" i="4"/>
  <c r="J23" i="4"/>
  <c r="K27" i="4" l="1"/>
  <c r="I27" i="4"/>
  <c r="O5" i="4"/>
  <c r="O12" i="4"/>
  <c r="F27" i="4"/>
  <c r="L27" i="4"/>
  <c r="H27" i="4"/>
  <c r="O8" i="4"/>
  <c r="E27" i="4"/>
  <c r="B11" i="1"/>
  <c r="C9" i="1" s="1"/>
  <c r="O22" i="4"/>
  <c r="O19" i="4"/>
  <c r="N27" i="4"/>
  <c r="J27" i="4"/>
  <c r="C7" i="1"/>
  <c r="M27" i="4"/>
  <c r="O6" i="4"/>
  <c r="O25" i="4"/>
  <c r="D27" i="4"/>
  <c r="O24" i="4"/>
  <c r="O16" i="4"/>
  <c r="O10" i="4"/>
  <c r="C27" i="4"/>
  <c r="C28" i="4" s="1"/>
  <c r="D28" i="4" s="1"/>
  <c r="E28" i="4" s="1"/>
  <c r="F28" i="4" s="1"/>
  <c r="O11" i="4"/>
  <c r="C6" i="1"/>
  <c r="C8" i="1"/>
  <c r="O23" i="4"/>
  <c r="O21" i="4"/>
  <c r="G27" i="4"/>
  <c r="C10" i="1" l="1"/>
  <c r="C5" i="1"/>
  <c r="C11" i="1" s="1"/>
  <c r="G28" i="4"/>
  <c r="H28" i="4" s="1"/>
  <c r="I28" i="4" s="1"/>
  <c r="J28" i="4" s="1"/>
  <c r="K28" i="4" s="1"/>
  <c r="L28" i="4" s="1"/>
  <c r="M28" i="4" s="1"/>
  <c r="N28" i="4" s="1"/>
  <c r="O27" i="4"/>
</calcChain>
</file>

<file path=xl/sharedStrings.xml><?xml version="1.0" encoding="utf-8"?>
<sst xmlns="http://schemas.openxmlformats.org/spreadsheetml/2006/main" count="156" uniqueCount="113">
  <si>
    <t>HaqqAI project budget</t>
  </si>
  <si>
    <t>Category</t>
  </si>
  <si>
    <t>Amount (₦)</t>
  </si>
  <si>
    <t>Share of total</t>
  </si>
  <si>
    <t>Product build out</t>
  </si>
  <si>
    <t>Team</t>
  </si>
  <si>
    <t>Pilot deployment</t>
  </si>
  <si>
    <t>Security, compliance and scale testing</t>
  </si>
  <si>
    <t>Infrastructure and operating costs</t>
  </si>
  <si>
    <t>Contingency</t>
  </si>
  <si>
    <t>Total</t>
  </si>
  <si>
    <t>Detail is on the Line Items sheet. Spending by month is on the Monthly Plan sheet.</t>
  </si>
  <si>
    <t>Assumptions and notes</t>
  </si>
  <si>
    <t>Blue cells are inputs and can be changed. Black cells are formulas.</t>
  </si>
  <si>
    <t>Funding requested (naira)</t>
  </si>
  <si>
    <t>Project length (months)</t>
  </si>
  <si>
    <t>Notes</t>
  </si>
  <si>
    <t>2. Amounts are treated as including any taxes that apply.</t>
  </si>
  <si>
    <t>4. The founder's own pay is not paid from this budget.</t>
  </si>
  <si>
    <t>5. Product build out covers contracted design and development work. The part time engineer and the sales support sit under Team.</t>
  </si>
  <si>
    <t>6. Recurring costs are spread evenly over their start and end months on the Monthly Plan sheet. One time costs are spread over their stated window.</t>
  </si>
  <si>
    <t>7. The contingency reserve is shown in the final month. It is spent only if other costs rise.</t>
  </si>
  <si>
    <t>8. Quantity times unit cost gives each line's total on the Line Items sheet. Change a quantity or unit cost there and every other sheet updates.</t>
  </si>
  <si>
    <t>Ref</t>
  </si>
  <si>
    <t>Item</t>
  </si>
  <si>
    <t>Basis</t>
  </si>
  <si>
    <t>Qty</t>
  </si>
  <si>
    <t>Unit</t>
  </si>
  <si>
    <t>Unit cost (₦)</t>
  </si>
  <si>
    <t>Total (₦)</t>
  </si>
  <si>
    <t>Start month</t>
  </si>
  <si>
    <t>End month</t>
  </si>
  <si>
    <t>P1</t>
  </si>
  <si>
    <t>Customer assistant interface</t>
  </si>
  <si>
    <t>project</t>
  </si>
  <si>
    <t>P2</t>
  </si>
  <si>
    <t>Staff knowledge assistant interface</t>
  </si>
  <si>
    <t>P3</t>
  </si>
  <si>
    <t>Verification trace and audit screens</t>
  </si>
  <si>
    <t>Screens that show each check and its source page to a reviewer</t>
  </si>
  <si>
    <t>P4</t>
  </si>
  <si>
    <t>Retrieval speed and reliability work</t>
  </si>
  <si>
    <t>P5</t>
  </si>
  <si>
    <t>Filing ingestion and company registry tooling</t>
  </si>
  <si>
    <t>Lets a new institution's documents be added without engineering help</t>
  </si>
  <si>
    <t>P6</t>
  </si>
  <si>
    <t>UI and UX design, user testing with staff</t>
  </si>
  <si>
    <t>Design work and two rounds of testing with bank staff</t>
  </si>
  <si>
    <t>T1</t>
  </si>
  <si>
    <t>Part time software engineer</t>
  </si>
  <si>
    <t>month</t>
  </si>
  <si>
    <t>T2</t>
  </si>
  <si>
    <t>Sales and partnerships support</t>
  </si>
  <si>
    <t>Monthly retainer for introductions into banks and fintechs</t>
  </si>
  <si>
    <t>T3</t>
  </si>
  <si>
    <t>Banking compliance advisor</t>
  </si>
  <si>
    <t>Quarterly retainer</t>
  </si>
  <si>
    <t>quarter</t>
  </si>
  <si>
    <t>L1</t>
  </si>
  <si>
    <t>Integration work for one institution</t>
  </si>
  <si>
    <t>Connecting to a test environment of the pilot bank's own systems</t>
  </si>
  <si>
    <t>L2</t>
  </si>
  <si>
    <t>Deployment and staff training</t>
  </si>
  <si>
    <t>Set up at the pilot institution and train its users</t>
  </si>
  <si>
    <t>L3</t>
  </si>
  <si>
    <t>Pilot support and monitoring</t>
  </si>
  <si>
    <t>Three months of support after go live</t>
  </si>
  <si>
    <t>L4</t>
  </si>
  <si>
    <t>Travel and meetings</t>
  </si>
  <si>
    <t>Visits to the pilot bank and prospective customers in Lagos and Abuja</t>
  </si>
  <si>
    <t>lump sum</t>
  </si>
  <si>
    <t>S1</t>
  </si>
  <si>
    <t>Independent penetration test</t>
  </si>
  <si>
    <t>External firm, one full test and one retest</t>
  </si>
  <si>
    <t>engagement</t>
  </si>
  <si>
    <t>S2</t>
  </si>
  <si>
    <t>Tenant isolation and load testing</t>
  </si>
  <si>
    <t>Check that one institution can never see another's data, under load</t>
  </si>
  <si>
    <t>S3</t>
  </si>
  <si>
    <t>Data protection review and contract templates</t>
  </si>
  <si>
    <t>Legal review against the Nigeria Data Protection Act, plus a standard data agreement</t>
  </si>
  <si>
    <t>S4</t>
  </si>
  <si>
    <t>Security tooling and audit log storage</t>
  </si>
  <si>
    <t>Secrets management and separate storage for the audit trail</t>
  </si>
  <si>
    <t>setup</t>
  </si>
  <si>
    <t>I1</t>
  </si>
  <si>
    <t>Cloud hosting</t>
  </si>
  <si>
    <t>Application, database and vector storage</t>
  </si>
  <si>
    <t>I2</t>
  </si>
  <si>
    <t>Language model usage</t>
  </si>
  <si>
    <t>Testing, demos and the pilot, billed by the provider</t>
  </si>
  <si>
    <t>I3</t>
  </si>
  <si>
    <t>Software tools and licences</t>
  </si>
  <si>
    <t>Development, design and project tools</t>
  </si>
  <si>
    <t>year</t>
  </si>
  <si>
    <t>I4</t>
  </si>
  <si>
    <t>Domain, email, monitoring and backups</t>
  </si>
  <si>
    <t>Yearly costs</t>
  </si>
  <si>
    <t>I5</t>
  </si>
  <si>
    <t>Internet and test devices</t>
  </si>
  <si>
    <t>Data plan and phones or tablets for testing</t>
  </si>
  <si>
    <t>C1</t>
  </si>
  <si>
    <t>Contingency reserve</t>
  </si>
  <si>
    <t>4% of the total, kept back for cost changes and used only if needed</t>
  </si>
  <si>
    <t>reserve</t>
  </si>
  <si>
    <t>Spending by month (₦)</t>
  </si>
  <si>
    <t>Total for the month</t>
  </si>
  <si>
    <t>Running total</t>
  </si>
  <si>
    <t>1. All amounts are planning estimates in naira.</t>
  </si>
  <si>
    <t>Fixed price project, contracted designer and front end developer. Includes setting the assistant up for the six customer uses and showing the confidence score</t>
  </si>
  <si>
    <t>Fixed price project, built on the same verification engine. Includes the HR, IT, operations, customer service and training uses, and the credit, compliance and regulatory assistants</t>
  </si>
  <si>
    <t>Use stored vectors instead of re-embedding, and make repeat runs give consistent answers</t>
  </si>
  <si>
    <t>About 20 hours a week for 10 months. Includes building human escalation and the AML/KYC, risk and fraud assistants in months 9 and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</si>
</sst>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\(#,##0\);&quot;-&quot;"/>
    <numFmt numFmtId="165" formatCode="0.0%;\(0.0%\);&quot;-&quot;"/>
    <numFmt numFmtId="166" formatCode="&quot;Month &quot;0"/>
  </numFmts>
  <fonts count="7" x14ac:knownFonts="1">
    <font>
      <sz val="11"/>
      <color theme="1"/>
      <name val="Calibri"/>
      <family val="2"/>
      <scheme val="minor"/>
    </font>
    <font>
      <b/>
      <sz val="14"/>
      <color rgb="FF1F3A4D"/>
      <name val="Arial"/>
    </font>
    <font>
      <i/>
      <sz val="10"/>
      <color rgb="FF595959"/>
      <name val="Arial"/>
    </font>
    <font>
      <sz val="10"/>
      <name val="Arial"/>
    </font>
    <font>
      <sz val="10"/>
      <color rgb="FF0000FF"/>
      <name val="Arial"/>
    </font>
    <font>
      <b/>
      <sz val="10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3A4D"/>
      </patternFill>
    </fill>
    <fill>
      <patternFill patternType="solid">
        <fgColor rgb="FFE7EDF1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3A4D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6" fillId="3" borderId="0" xfId="0" applyFont="1" applyFill="1" applyAlignment="1">
      <alignment horizontal="center" vertical="center"/>
    </xf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5" fillId="4" borderId="2" xfId="0" applyFont="1" applyFill="1" applyBorder="1"/>
    <xf numFmtId="164" fontId="5" fillId="4" borderId="2" xfId="0" applyNumberFormat="1" applyFont="1" applyFill="1" applyBorder="1"/>
    <xf numFmtId="165" fontId="5" fillId="4" borderId="2" xfId="0" applyNumberFormat="1" applyFont="1" applyFill="1" applyBorder="1"/>
    <xf numFmtId="0" fontId="3" fillId="0" borderId="0" xfId="0" applyFont="1"/>
    <xf numFmtId="164" fontId="4" fillId="2" borderId="1" xfId="0" applyNumberFormat="1" applyFont="1" applyFill="1" applyBorder="1"/>
    <xf numFmtId="1" fontId="4" fillId="2" borderId="1" xfId="0" applyNumberFormat="1" applyFont="1" applyFill="1" applyBorder="1"/>
    <xf numFmtId="0" fontId="5" fillId="0" borderId="0" xfId="0" applyFont="1"/>
    <xf numFmtId="0" fontId="6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164" fontId="4" fillId="0" borderId="1" xfId="0" applyNumberFormat="1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0" fontId="0" fillId="4" borderId="2" xfId="0" applyFill="1" applyBorder="1"/>
    <xf numFmtId="166" fontId="6" fillId="3" borderId="0" xfId="0" applyNumberFormat="1" applyFont="1" applyFill="1" applyAlignment="1">
      <alignment horizontal="center" vertical="center" wrapText="1"/>
    </xf>
    <xf numFmtId="0" fontId="0" fillId="4" borderId="0" xfId="0" applyFill="1"/>
    <xf numFmtId="0" fontId="5" fillId="4" borderId="0" xfId="0" applyFont="1" applyFill="1"/>
    <xf numFmtId="164" fontId="5" fillId="4" borderId="0" xfId="0" applyNumberFormat="1" applyFont="1" applyFill="1"/>
    <xf numFmtId="0" fontId="3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4"/>
  <sheetViews>
    <sheetView showGridLines="0" workbookViewId="0">
      <selection activeCell="B28" sqref="B28"/>
    </sheetView>
  </sheetViews>
  <sheetFormatPr defaultRowHeight="14.4" x14ac:dyDescent="0.3"/>
  <cols>
    <col min="1" max="1" width="42" customWidth="1"/>
    <col min="2" max="3" width="18" customWidth="1"/>
  </cols>
  <sheetData>
    <row r="1" spans="1:3" ht="17.399999999999999" x14ac:dyDescent="0.3">
      <c r="A1" s="1" t="s">
        <v>0</v>
      </c>
    </row>
    <row r="2" spans="1:3" x14ac:dyDescent="0.3">
      <c r="A2" s="2" t="str">
        <f>"Funding requested: "&amp;TEXT(Assumptions!B4,"#,##0")&amp;" naira over "&amp;Assumptions!B5&amp;" months"</f>
        <v>Funding requested: 50,000,000 naira over 12 months</v>
      </c>
    </row>
    <row r="4" spans="1:3" x14ac:dyDescent="0.3">
      <c r="A4" s="3" t="s">
        <v>1</v>
      </c>
      <c r="B4" s="3" t="s">
        <v>2</v>
      </c>
      <c r="C4" s="3" t="s">
        <v>3</v>
      </c>
    </row>
    <row r="5" spans="1:3" x14ac:dyDescent="0.3">
      <c r="A5" s="4" t="s">
        <v>4</v>
      </c>
      <c r="B5" s="5">
        <f>SUMIF('Line Items'!$B$2:$B$24,A5,'Line Items'!$H$2:$H$24)</f>
        <v>20000000</v>
      </c>
      <c r="C5" s="6">
        <f t="shared" ref="C5:C10" si="0">B5/$B$11</f>
        <v>0.4</v>
      </c>
    </row>
    <row r="6" spans="1:3" x14ac:dyDescent="0.3">
      <c r="A6" s="4" t="s">
        <v>5</v>
      </c>
      <c r="B6" s="5">
        <f>SUMIF('Line Items'!$B$2:$B$24,A6,'Line Items'!$H$2:$H$24)</f>
        <v>8000000</v>
      </c>
      <c r="C6" s="6">
        <f t="shared" si="0"/>
        <v>0.16</v>
      </c>
    </row>
    <row r="7" spans="1:3" x14ac:dyDescent="0.3">
      <c r="A7" s="4" t="s">
        <v>6</v>
      </c>
      <c r="B7" s="5">
        <f>SUMIF('Line Items'!$B$2:$B$24,A7,'Line Items'!$H$2:$H$24)</f>
        <v>8000000</v>
      </c>
      <c r="C7" s="6">
        <f t="shared" si="0"/>
        <v>0.16</v>
      </c>
    </row>
    <row r="8" spans="1:3" x14ac:dyDescent="0.3">
      <c r="A8" s="4" t="s">
        <v>7</v>
      </c>
      <c r="B8" s="5">
        <f>SUMIF('Line Items'!$B$2:$B$24,A8,'Line Items'!$H$2:$H$24)</f>
        <v>7000000</v>
      </c>
      <c r="C8" s="6">
        <f t="shared" si="0"/>
        <v>0.14000000000000001</v>
      </c>
    </row>
    <row r="9" spans="1:3" x14ac:dyDescent="0.3">
      <c r="A9" s="4" t="s">
        <v>8</v>
      </c>
      <c r="B9" s="5">
        <f>SUMIF('Line Items'!$B$2:$B$24,A9,'Line Items'!$H$2:$H$24)</f>
        <v>5000000</v>
      </c>
      <c r="C9" s="6">
        <f t="shared" si="0"/>
        <v>0.1</v>
      </c>
    </row>
    <row r="10" spans="1:3" ht="15" thickBot="1" x14ac:dyDescent="0.35">
      <c r="A10" s="4" t="s">
        <v>9</v>
      </c>
      <c r="B10" s="5">
        <f>SUMIF('Line Items'!$B$2:$B$24,A10,'Line Items'!$H$2:$H$24)</f>
        <v>2000000</v>
      </c>
      <c r="C10" s="6">
        <f t="shared" si="0"/>
        <v>0.04</v>
      </c>
    </row>
    <row r="11" spans="1:3" x14ac:dyDescent="0.3">
      <c r="A11" s="7" t="s">
        <v>10</v>
      </c>
      <c r="B11" s="8">
        <f>SUM(B5:B10)</f>
        <v>50000000</v>
      </c>
      <c r="C11" s="9">
        <f>SUM(C5:C10)</f>
        <v>1</v>
      </c>
    </row>
    <row r="14" spans="1:3" x14ac:dyDescent="0.3">
      <c r="A14" s="2" t="s">
        <v>11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5"/>
  <sheetViews>
    <sheetView showGridLines="0" topLeftCell="A2" workbookViewId="0">
      <selection activeCell="B19" sqref="B19"/>
    </sheetView>
  </sheetViews>
  <sheetFormatPr defaultRowHeight="14.4" x14ac:dyDescent="0.3"/>
  <cols>
    <col min="1" max="1" width="44" customWidth="1"/>
    <col min="2" max="2" width="18" customWidth="1"/>
    <col min="3" max="3" width="60" customWidth="1"/>
  </cols>
  <sheetData>
    <row r="1" spans="1:3" ht="17.399999999999999" x14ac:dyDescent="0.3">
      <c r="A1" s="1" t="s">
        <v>12</v>
      </c>
    </row>
    <row r="2" spans="1:3" x14ac:dyDescent="0.3">
      <c r="A2" s="2" t="s">
        <v>13</v>
      </c>
    </row>
    <row r="4" spans="1:3" x14ac:dyDescent="0.3">
      <c r="A4" s="10" t="s">
        <v>14</v>
      </c>
      <c r="B4" s="11">
        <v>50000000</v>
      </c>
    </row>
    <row r="5" spans="1:3" x14ac:dyDescent="0.3">
      <c r="A5" s="10" t="s">
        <v>15</v>
      </c>
      <c r="B5" s="12">
        <v>12</v>
      </c>
    </row>
    <row r="8" spans="1:3" x14ac:dyDescent="0.3">
      <c r="A8" s="13" t="s">
        <v>16</v>
      </c>
    </row>
    <row r="9" spans="1:3" ht="30" customHeight="1" x14ac:dyDescent="0.3">
      <c r="A9" s="25" t="s">
        <v>108</v>
      </c>
      <c r="B9" s="26"/>
      <c r="C9" s="26"/>
    </row>
    <row r="10" spans="1:3" ht="30" customHeight="1" x14ac:dyDescent="0.3">
      <c r="A10" s="25" t="s">
        <v>17</v>
      </c>
      <c r="B10" s="26"/>
      <c r="C10" s="26"/>
    </row>
    <row r="11" spans="1:3" ht="30" customHeight="1" x14ac:dyDescent="0.3">
      <c r="A11" s="25" t="s">
        <v>18</v>
      </c>
      <c r="B11" s="26"/>
      <c r="C11" s="26"/>
    </row>
    <row r="12" spans="1:3" ht="30" customHeight="1" x14ac:dyDescent="0.3">
      <c r="A12" s="25" t="s">
        <v>19</v>
      </c>
      <c r="B12" s="26"/>
      <c r="C12" s="26"/>
    </row>
    <row r="13" spans="1:3" ht="30" customHeight="1" x14ac:dyDescent="0.3">
      <c r="A13" s="25" t="s">
        <v>20</v>
      </c>
      <c r="B13" s="26"/>
      <c r="C13" s="26"/>
    </row>
    <row r="14" spans="1:3" ht="30" customHeight="1" x14ac:dyDescent="0.3">
      <c r="A14" s="25" t="s">
        <v>21</v>
      </c>
      <c r="B14" s="26"/>
      <c r="C14" s="26"/>
    </row>
    <row r="15" spans="1:3" ht="30" customHeight="1" x14ac:dyDescent="0.3">
      <c r="A15" s="25" t="s">
        <v>22</v>
      </c>
      <c r="B15" s="26"/>
      <c r="C15" s="26"/>
    </row>
  </sheetData>
  <mergeCells count="7">
    <mergeCell ref="A9:C9"/>
    <mergeCell ref="A11:C11"/>
    <mergeCell ref="A10:C10"/>
    <mergeCell ref="A12:C12"/>
    <mergeCell ref="A15:C15"/>
    <mergeCell ref="A14:C14"/>
    <mergeCell ref="A13:C13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showGridLines="0" workbookViewId="0">
      <pane xSplit="3" ySplit="1" topLeftCell="D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32" customWidth="1"/>
    <col min="3" max="3" width="40" customWidth="1"/>
    <col min="4" max="4" width="58" customWidth="1"/>
    <col min="5" max="5" width="7" customWidth="1"/>
    <col min="6" max="6" width="11" customWidth="1"/>
    <col min="7" max="7" width="14" customWidth="1"/>
    <col min="8" max="8" width="15" customWidth="1"/>
    <col min="9" max="10" width="9" customWidth="1"/>
  </cols>
  <sheetData>
    <row r="1" spans="1:10" ht="30" customHeight="1" x14ac:dyDescent="0.3">
      <c r="A1" s="14" t="s">
        <v>23</v>
      </c>
      <c r="B1" s="14" t="s">
        <v>1</v>
      </c>
      <c r="C1" s="14" t="s">
        <v>24</v>
      </c>
      <c r="D1" s="14" t="s">
        <v>25</v>
      </c>
      <c r="E1" s="14" t="s">
        <v>26</v>
      </c>
      <c r="F1" s="14" t="s">
        <v>27</v>
      </c>
      <c r="G1" s="14" t="s">
        <v>28</v>
      </c>
      <c r="H1" s="14" t="s">
        <v>29</v>
      </c>
      <c r="I1" s="14" t="s">
        <v>30</v>
      </c>
      <c r="J1" s="14" t="s">
        <v>31</v>
      </c>
    </row>
    <row r="2" spans="1:10" ht="39.6" x14ac:dyDescent="0.3">
      <c r="A2" s="15" t="s">
        <v>32</v>
      </c>
      <c r="B2" s="15" t="s">
        <v>4</v>
      </c>
      <c r="C2" s="16" t="s">
        <v>33</v>
      </c>
      <c r="D2" s="16" t="s">
        <v>109</v>
      </c>
      <c r="E2" s="17">
        <v>1</v>
      </c>
      <c r="F2" s="15" t="s">
        <v>34</v>
      </c>
      <c r="G2" s="18">
        <v>6000000</v>
      </c>
      <c r="H2" s="19">
        <f t="shared" ref="H2:H24" si="0">E2*G2</f>
        <v>6000000</v>
      </c>
      <c r="I2" s="17">
        <v>1</v>
      </c>
      <c r="J2" s="17">
        <v>4</v>
      </c>
    </row>
    <row r="3" spans="1:10" ht="39.6" x14ac:dyDescent="0.3">
      <c r="A3" s="15" t="s">
        <v>35</v>
      </c>
      <c r="B3" s="15" t="s">
        <v>4</v>
      </c>
      <c r="C3" s="16" t="s">
        <v>36</v>
      </c>
      <c r="D3" s="16" t="s">
        <v>110</v>
      </c>
      <c r="E3" s="17">
        <v>1</v>
      </c>
      <c r="F3" s="15" t="s">
        <v>34</v>
      </c>
      <c r="G3" s="18">
        <v>5000000</v>
      </c>
      <c r="H3" s="19">
        <f t="shared" si="0"/>
        <v>5000000</v>
      </c>
      <c r="I3" s="17">
        <v>3</v>
      </c>
      <c r="J3" s="17">
        <v>6</v>
      </c>
    </row>
    <row r="4" spans="1:10" x14ac:dyDescent="0.3">
      <c r="A4" s="15" t="s">
        <v>37</v>
      </c>
      <c r="B4" s="15" t="s">
        <v>4</v>
      </c>
      <c r="C4" s="16" t="s">
        <v>38</v>
      </c>
      <c r="D4" s="16" t="s">
        <v>39</v>
      </c>
      <c r="E4" s="17">
        <v>1</v>
      </c>
      <c r="F4" s="15" t="s">
        <v>34</v>
      </c>
      <c r="G4" s="18">
        <v>2500000</v>
      </c>
      <c r="H4" s="19">
        <f t="shared" si="0"/>
        <v>2500000</v>
      </c>
      <c r="I4" s="17">
        <v>5</v>
      </c>
      <c r="J4" s="17">
        <v>7</v>
      </c>
    </row>
    <row r="5" spans="1:10" ht="26.4" x14ac:dyDescent="0.3">
      <c r="A5" s="15" t="s">
        <v>40</v>
      </c>
      <c r="B5" s="15" t="s">
        <v>4</v>
      </c>
      <c r="C5" s="16" t="s">
        <v>41</v>
      </c>
      <c r="D5" s="16" t="s">
        <v>111</v>
      </c>
      <c r="E5" s="17">
        <v>1</v>
      </c>
      <c r="F5" s="15" t="s">
        <v>34</v>
      </c>
      <c r="G5" s="18">
        <v>2000000</v>
      </c>
      <c r="H5" s="19">
        <f t="shared" si="0"/>
        <v>2000000</v>
      </c>
      <c r="I5" s="17">
        <v>1</v>
      </c>
      <c r="J5" s="17">
        <v>3</v>
      </c>
    </row>
    <row r="6" spans="1:10" x14ac:dyDescent="0.3">
      <c r="A6" s="15" t="s">
        <v>42</v>
      </c>
      <c r="B6" s="15" t="s">
        <v>4</v>
      </c>
      <c r="C6" s="16" t="s">
        <v>43</v>
      </c>
      <c r="D6" s="16" t="s">
        <v>44</v>
      </c>
      <c r="E6" s="17">
        <v>1</v>
      </c>
      <c r="F6" s="15" t="s">
        <v>34</v>
      </c>
      <c r="G6" s="18">
        <v>2500000</v>
      </c>
      <c r="H6" s="19">
        <f t="shared" si="0"/>
        <v>2500000</v>
      </c>
      <c r="I6" s="17">
        <v>2</v>
      </c>
      <c r="J6" s="17">
        <v>4</v>
      </c>
    </row>
    <row r="7" spans="1:10" x14ac:dyDescent="0.3">
      <c r="A7" s="15" t="s">
        <v>45</v>
      </c>
      <c r="B7" s="15" t="s">
        <v>4</v>
      </c>
      <c r="C7" s="16" t="s">
        <v>46</v>
      </c>
      <c r="D7" s="16" t="s">
        <v>47</v>
      </c>
      <c r="E7" s="17">
        <v>1</v>
      </c>
      <c r="F7" s="15" t="s">
        <v>34</v>
      </c>
      <c r="G7" s="18">
        <v>2000000</v>
      </c>
      <c r="H7" s="19">
        <f t="shared" si="0"/>
        <v>2000000</v>
      </c>
      <c r="I7" s="17">
        <v>1</v>
      </c>
      <c r="J7" s="17">
        <v>3</v>
      </c>
    </row>
    <row r="8" spans="1:10" ht="39.6" x14ac:dyDescent="0.3">
      <c r="A8" s="15" t="s">
        <v>48</v>
      </c>
      <c r="B8" s="15" t="s">
        <v>5</v>
      </c>
      <c r="C8" s="16" t="s">
        <v>49</v>
      </c>
      <c r="D8" s="16" t="s">
        <v>112</v>
      </c>
      <c r="E8" s="17">
        <v>10</v>
      </c>
      <c r="F8" s="15" t="s">
        <v>50</v>
      </c>
      <c r="G8" s="18">
        <v>450000</v>
      </c>
      <c r="H8" s="19">
        <f t="shared" si="0"/>
        <v>4500000</v>
      </c>
      <c r="I8" s="17">
        <v>2</v>
      </c>
      <c r="J8" s="17">
        <v>11</v>
      </c>
    </row>
    <row r="9" spans="1:10" x14ac:dyDescent="0.3">
      <c r="A9" s="15" t="s">
        <v>51</v>
      </c>
      <c r="B9" s="15" t="s">
        <v>5</v>
      </c>
      <c r="C9" s="16" t="s">
        <v>52</v>
      </c>
      <c r="D9" s="16" t="s">
        <v>53</v>
      </c>
      <c r="E9" s="17">
        <v>9</v>
      </c>
      <c r="F9" s="15" t="s">
        <v>50</v>
      </c>
      <c r="G9" s="18">
        <v>300000</v>
      </c>
      <c r="H9" s="19">
        <f t="shared" si="0"/>
        <v>2700000</v>
      </c>
      <c r="I9" s="17">
        <v>4</v>
      </c>
      <c r="J9" s="17">
        <v>12</v>
      </c>
    </row>
    <row r="10" spans="1:10" x14ac:dyDescent="0.3">
      <c r="A10" s="15" t="s">
        <v>54</v>
      </c>
      <c r="B10" s="15" t="s">
        <v>5</v>
      </c>
      <c r="C10" s="16" t="s">
        <v>55</v>
      </c>
      <c r="D10" s="16" t="s">
        <v>56</v>
      </c>
      <c r="E10" s="17">
        <v>4</v>
      </c>
      <c r="F10" s="15" t="s">
        <v>57</v>
      </c>
      <c r="G10" s="18">
        <v>200000</v>
      </c>
      <c r="H10" s="19">
        <f t="shared" si="0"/>
        <v>800000</v>
      </c>
      <c r="I10" s="17">
        <v>3</v>
      </c>
      <c r="J10" s="17">
        <v>12</v>
      </c>
    </row>
    <row r="11" spans="1:10" x14ac:dyDescent="0.3">
      <c r="A11" s="15" t="s">
        <v>58</v>
      </c>
      <c r="B11" s="15" t="s">
        <v>6</v>
      </c>
      <c r="C11" s="16" t="s">
        <v>59</v>
      </c>
      <c r="D11" s="16" t="s">
        <v>60</v>
      </c>
      <c r="E11" s="17">
        <v>1</v>
      </c>
      <c r="F11" s="15" t="s">
        <v>34</v>
      </c>
      <c r="G11" s="18">
        <v>4000000</v>
      </c>
      <c r="H11" s="19">
        <f t="shared" si="0"/>
        <v>4000000</v>
      </c>
      <c r="I11" s="17">
        <v>6</v>
      </c>
      <c r="J11" s="17">
        <v>8</v>
      </c>
    </row>
    <row r="12" spans="1:10" x14ac:dyDescent="0.3">
      <c r="A12" s="15" t="s">
        <v>61</v>
      </c>
      <c r="B12" s="15" t="s">
        <v>6</v>
      </c>
      <c r="C12" s="16" t="s">
        <v>62</v>
      </c>
      <c r="D12" s="16" t="s">
        <v>63</v>
      </c>
      <c r="E12" s="17">
        <v>1</v>
      </c>
      <c r="F12" s="15" t="s">
        <v>34</v>
      </c>
      <c r="G12" s="18">
        <v>1500000</v>
      </c>
      <c r="H12" s="19">
        <f t="shared" si="0"/>
        <v>1500000</v>
      </c>
      <c r="I12" s="17">
        <v>8</v>
      </c>
      <c r="J12" s="17">
        <v>9</v>
      </c>
    </row>
    <row r="13" spans="1:10" x14ac:dyDescent="0.3">
      <c r="A13" s="15" t="s">
        <v>64</v>
      </c>
      <c r="B13" s="15" t="s">
        <v>6</v>
      </c>
      <c r="C13" s="16" t="s">
        <v>65</v>
      </c>
      <c r="D13" s="16" t="s">
        <v>66</v>
      </c>
      <c r="E13" s="17">
        <v>3</v>
      </c>
      <c r="F13" s="15" t="s">
        <v>50</v>
      </c>
      <c r="G13" s="18">
        <v>500000</v>
      </c>
      <c r="H13" s="19">
        <f t="shared" si="0"/>
        <v>1500000</v>
      </c>
      <c r="I13" s="17">
        <v>9</v>
      </c>
      <c r="J13" s="17">
        <v>11</v>
      </c>
    </row>
    <row r="14" spans="1:10" ht="26.4" x14ac:dyDescent="0.3">
      <c r="A14" s="15" t="s">
        <v>67</v>
      </c>
      <c r="B14" s="15" t="s">
        <v>6</v>
      </c>
      <c r="C14" s="16" t="s">
        <v>68</v>
      </c>
      <c r="D14" s="16" t="s">
        <v>69</v>
      </c>
      <c r="E14" s="17">
        <v>1</v>
      </c>
      <c r="F14" s="15" t="s">
        <v>70</v>
      </c>
      <c r="G14" s="18">
        <v>1000000</v>
      </c>
      <c r="H14" s="19">
        <f t="shared" si="0"/>
        <v>1000000</v>
      </c>
      <c r="I14" s="17">
        <v>4</v>
      </c>
      <c r="J14" s="17">
        <v>12</v>
      </c>
    </row>
    <row r="15" spans="1:10" x14ac:dyDescent="0.3">
      <c r="A15" s="15" t="s">
        <v>71</v>
      </c>
      <c r="B15" s="15" t="s">
        <v>7</v>
      </c>
      <c r="C15" s="16" t="s">
        <v>72</v>
      </c>
      <c r="D15" s="16" t="s">
        <v>73</v>
      </c>
      <c r="E15" s="17">
        <v>1</v>
      </c>
      <c r="F15" s="15" t="s">
        <v>74</v>
      </c>
      <c r="G15" s="18">
        <v>2500000</v>
      </c>
      <c r="H15" s="19">
        <f t="shared" si="0"/>
        <v>2500000</v>
      </c>
      <c r="I15" s="17">
        <v>7</v>
      </c>
      <c r="J15" s="17">
        <v>8</v>
      </c>
    </row>
    <row r="16" spans="1:10" x14ac:dyDescent="0.3">
      <c r="A16" s="15" t="s">
        <v>75</v>
      </c>
      <c r="B16" s="15" t="s">
        <v>7</v>
      </c>
      <c r="C16" s="16" t="s">
        <v>76</v>
      </c>
      <c r="D16" s="16" t="s">
        <v>77</v>
      </c>
      <c r="E16" s="17">
        <v>1</v>
      </c>
      <c r="F16" s="15" t="s">
        <v>34</v>
      </c>
      <c r="G16" s="18">
        <v>1500000</v>
      </c>
      <c r="H16" s="19">
        <f t="shared" si="0"/>
        <v>1500000</v>
      </c>
      <c r="I16" s="17">
        <v>6</v>
      </c>
      <c r="J16" s="17">
        <v>7</v>
      </c>
    </row>
    <row r="17" spans="1:10" ht="26.4" x14ac:dyDescent="0.3">
      <c r="A17" s="15" t="s">
        <v>78</v>
      </c>
      <c r="B17" s="15" t="s">
        <v>7</v>
      </c>
      <c r="C17" s="16" t="s">
        <v>79</v>
      </c>
      <c r="D17" s="16" t="s">
        <v>80</v>
      </c>
      <c r="E17" s="17">
        <v>1</v>
      </c>
      <c r="F17" s="15" t="s">
        <v>74</v>
      </c>
      <c r="G17" s="18">
        <v>1800000</v>
      </c>
      <c r="H17" s="19">
        <f t="shared" si="0"/>
        <v>1800000</v>
      </c>
      <c r="I17" s="17">
        <v>3</v>
      </c>
      <c r="J17" s="17">
        <v>5</v>
      </c>
    </row>
    <row r="18" spans="1:10" x14ac:dyDescent="0.3">
      <c r="A18" s="15" t="s">
        <v>81</v>
      </c>
      <c r="B18" s="15" t="s">
        <v>7</v>
      </c>
      <c r="C18" s="16" t="s">
        <v>82</v>
      </c>
      <c r="D18" s="16" t="s">
        <v>83</v>
      </c>
      <c r="E18" s="17">
        <v>1</v>
      </c>
      <c r="F18" s="15" t="s">
        <v>84</v>
      </c>
      <c r="G18" s="18">
        <v>1200000</v>
      </c>
      <c r="H18" s="19">
        <f t="shared" si="0"/>
        <v>1200000</v>
      </c>
      <c r="I18" s="17">
        <v>2</v>
      </c>
      <c r="J18" s="17">
        <v>3</v>
      </c>
    </row>
    <row r="19" spans="1:10" x14ac:dyDescent="0.3">
      <c r="A19" s="15" t="s">
        <v>85</v>
      </c>
      <c r="B19" s="15" t="s">
        <v>8</v>
      </c>
      <c r="C19" s="16" t="s">
        <v>86</v>
      </c>
      <c r="D19" s="16" t="s">
        <v>87</v>
      </c>
      <c r="E19" s="17">
        <v>12</v>
      </c>
      <c r="F19" s="15" t="s">
        <v>50</v>
      </c>
      <c r="G19" s="18">
        <v>200000</v>
      </c>
      <c r="H19" s="19">
        <f t="shared" si="0"/>
        <v>2400000</v>
      </c>
      <c r="I19" s="17">
        <v>1</v>
      </c>
      <c r="J19" s="17">
        <v>12</v>
      </c>
    </row>
    <row r="20" spans="1:10" x14ac:dyDescent="0.3">
      <c r="A20" s="15" t="s">
        <v>88</v>
      </c>
      <c r="B20" s="15" t="s">
        <v>8</v>
      </c>
      <c r="C20" s="16" t="s">
        <v>89</v>
      </c>
      <c r="D20" s="16" t="s">
        <v>90</v>
      </c>
      <c r="E20" s="17">
        <v>12</v>
      </c>
      <c r="F20" s="15" t="s">
        <v>50</v>
      </c>
      <c r="G20" s="18">
        <v>100000</v>
      </c>
      <c r="H20" s="19">
        <f t="shared" si="0"/>
        <v>1200000</v>
      </c>
      <c r="I20" s="17">
        <v>1</v>
      </c>
      <c r="J20" s="17">
        <v>12</v>
      </c>
    </row>
    <row r="21" spans="1:10" x14ac:dyDescent="0.3">
      <c r="A21" s="15" t="s">
        <v>91</v>
      </c>
      <c r="B21" s="15" t="s">
        <v>8</v>
      </c>
      <c r="C21" s="16" t="s">
        <v>92</v>
      </c>
      <c r="D21" s="16" t="s">
        <v>93</v>
      </c>
      <c r="E21" s="17">
        <v>1</v>
      </c>
      <c r="F21" s="15" t="s">
        <v>94</v>
      </c>
      <c r="G21" s="18">
        <v>500000</v>
      </c>
      <c r="H21" s="19">
        <f t="shared" si="0"/>
        <v>500000</v>
      </c>
      <c r="I21" s="17">
        <v>1</v>
      </c>
      <c r="J21" s="17">
        <v>12</v>
      </c>
    </row>
    <row r="22" spans="1:10" x14ac:dyDescent="0.3">
      <c r="A22" s="15" t="s">
        <v>95</v>
      </c>
      <c r="B22" s="15" t="s">
        <v>8</v>
      </c>
      <c r="C22" s="16" t="s">
        <v>96</v>
      </c>
      <c r="D22" s="16" t="s">
        <v>97</v>
      </c>
      <c r="E22" s="17">
        <v>1</v>
      </c>
      <c r="F22" s="15" t="s">
        <v>94</v>
      </c>
      <c r="G22" s="18">
        <v>300000</v>
      </c>
      <c r="H22" s="19">
        <f t="shared" si="0"/>
        <v>300000</v>
      </c>
      <c r="I22" s="17">
        <v>1</v>
      </c>
      <c r="J22" s="17">
        <v>12</v>
      </c>
    </row>
    <row r="23" spans="1:10" x14ac:dyDescent="0.3">
      <c r="A23" s="15" t="s">
        <v>98</v>
      </c>
      <c r="B23" s="15" t="s">
        <v>8</v>
      </c>
      <c r="C23" s="16" t="s">
        <v>99</v>
      </c>
      <c r="D23" s="16" t="s">
        <v>100</v>
      </c>
      <c r="E23" s="17">
        <v>12</v>
      </c>
      <c r="F23" s="15" t="s">
        <v>50</v>
      </c>
      <c r="G23" s="18">
        <v>50000</v>
      </c>
      <c r="H23" s="19">
        <f t="shared" si="0"/>
        <v>600000</v>
      </c>
      <c r="I23" s="17">
        <v>1</v>
      </c>
      <c r="J23" s="17">
        <v>12</v>
      </c>
    </row>
    <row r="24" spans="1:10" x14ac:dyDescent="0.3">
      <c r="A24" s="15" t="s">
        <v>101</v>
      </c>
      <c r="B24" s="15" t="s">
        <v>9</v>
      </c>
      <c r="C24" s="16" t="s">
        <v>102</v>
      </c>
      <c r="D24" s="16" t="s">
        <v>103</v>
      </c>
      <c r="E24" s="17">
        <v>1</v>
      </c>
      <c r="F24" s="15" t="s">
        <v>104</v>
      </c>
      <c r="G24" s="18">
        <v>2000000</v>
      </c>
      <c r="H24" s="19">
        <f t="shared" si="0"/>
        <v>2000000</v>
      </c>
      <c r="I24" s="17">
        <v>12</v>
      </c>
      <c r="J24" s="17">
        <v>12</v>
      </c>
    </row>
    <row r="25" spans="1:10" x14ac:dyDescent="0.3">
      <c r="A25" s="20"/>
      <c r="B25" s="20"/>
      <c r="C25" s="7" t="s">
        <v>10</v>
      </c>
      <c r="D25" s="20"/>
      <c r="E25" s="20"/>
      <c r="F25" s="20"/>
      <c r="G25" s="20"/>
      <c r="H25" s="8">
        <f>SUM(H2:H24)</f>
        <v>50000000</v>
      </c>
      <c r="I25" s="20"/>
      <c r="J25" s="20"/>
    </row>
  </sheetData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8"/>
  <sheetViews>
    <sheetView showGridLines="0" tabSelected="1" workbookViewId="0">
      <pane xSplit="2" ySplit="3" topLeftCell="E12" activePane="bottomRight" state="frozen"/>
      <selection pane="topRight"/>
      <selection pane="bottomLeft"/>
      <selection pane="bottomRight" activeCell="M33" sqref="M33"/>
    </sheetView>
  </sheetViews>
  <sheetFormatPr defaultRowHeight="14.4" x14ac:dyDescent="0.3"/>
  <cols>
    <col min="1" max="1" width="6" customWidth="1"/>
    <col min="2" max="2" width="42" customWidth="1"/>
    <col min="3" max="14" width="12" customWidth="1"/>
    <col min="15" max="15" width="14" customWidth="1"/>
  </cols>
  <sheetData>
    <row r="1" spans="1:15" ht="17.399999999999999" x14ac:dyDescent="0.3">
      <c r="A1" s="1" t="s">
        <v>105</v>
      </c>
    </row>
    <row r="3" spans="1:15" ht="30" customHeight="1" x14ac:dyDescent="0.3">
      <c r="A3" s="14" t="s">
        <v>23</v>
      </c>
      <c r="B3" s="14" t="s">
        <v>24</v>
      </c>
      <c r="C3" s="21">
        <v>1</v>
      </c>
      <c r="D3" s="21">
        <v>2</v>
      </c>
      <c r="E3" s="21">
        <v>3</v>
      </c>
      <c r="F3" s="21">
        <v>4</v>
      </c>
      <c r="G3" s="21">
        <v>5</v>
      </c>
      <c r="H3" s="21">
        <v>6</v>
      </c>
      <c r="I3" s="21">
        <v>7</v>
      </c>
      <c r="J3" s="21">
        <v>8</v>
      </c>
      <c r="K3" s="21">
        <v>9</v>
      </c>
      <c r="L3" s="21">
        <v>10</v>
      </c>
      <c r="M3" s="21">
        <v>11</v>
      </c>
      <c r="N3" s="21">
        <v>12</v>
      </c>
      <c r="O3" s="14" t="s">
        <v>10</v>
      </c>
    </row>
    <row r="4" spans="1:15" x14ac:dyDescent="0.3">
      <c r="A4" s="4" t="str">
        <f>'Line Items'!A2</f>
        <v>P1</v>
      </c>
      <c r="B4" s="4" t="str">
        <f>'Line Items'!C2</f>
        <v>Customer assistant interface</v>
      </c>
      <c r="C4" s="5">
        <f>IF(AND(C$3&gt;='Line Items'!$I2,C$3&lt;='Line Items'!$J2),'Line Items'!$H2/('Line Items'!$J2-'Line Items'!$I2+1),0)</f>
        <v>1500000</v>
      </c>
      <c r="D4" s="5">
        <f>IF(AND(D$3&gt;='Line Items'!$I2,D$3&lt;='Line Items'!$J2),'Line Items'!$H2/('Line Items'!$J2-'Line Items'!$I2+1),0)</f>
        <v>1500000</v>
      </c>
      <c r="E4" s="5">
        <f>IF(AND(E$3&gt;='Line Items'!$I2,E$3&lt;='Line Items'!$J2),'Line Items'!$H2/('Line Items'!$J2-'Line Items'!$I2+1),0)</f>
        <v>1500000</v>
      </c>
      <c r="F4" s="5">
        <f>IF(AND(F$3&gt;='Line Items'!$I2,F$3&lt;='Line Items'!$J2),'Line Items'!$H2/('Line Items'!$J2-'Line Items'!$I2+1),0)</f>
        <v>1500000</v>
      </c>
      <c r="G4" s="5">
        <f>IF(AND(G$3&gt;='Line Items'!$I2,G$3&lt;='Line Items'!$J2),'Line Items'!$H2/('Line Items'!$J2-'Line Items'!$I2+1),0)</f>
        <v>0</v>
      </c>
      <c r="H4" s="5">
        <f>IF(AND(H$3&gt;='Line Items'!$I2,H$3&lt;='Line Items'!$J2),'Line Items'!$H2/('Line Items'!$J2-'Line Items'!$I2+1),0)</f>
        <v>0</v>
      </c>
      <c r="I4" s="5">
        <f>IF(AND(I$3&gt;='Line Items'!$I2,I$3&lt;='Line Items'!$J2),'Line Items'!$H2/('Line Items'!$J2-'Line Items'!$I2+1),0)</f>
        <v>0</v>
      </c>
      <c r="J4" s="5">
        <f>IF(AND(J$3&gt;='Line Items'!$I2,J$3&lt;='Line Items'!$J2),'Line Items'!$H2/('Line Items'!$J2-'Line Items'!$I2+1),0)</f>
        <v>0</v>
      </c>
      <c r="K4" s="5">
        <f>IF(AND(K$3&gt;='Line Items'!$I2,K$3&lt;='Line Items'!$J2),'Line Items'!$H2/('Line Items'!$J2-'Line Items'!$I2+1),0)</f>
        <v>0</v>
      </c>
      <c r="L4" s="5">
        <f>IF(AND(L$3&gt;='Line Items'!$I2,L$3&lt;='Line Items'!$J2),'Line Items'!$H2/('Line Items'!$J2-'Line Items'!$I2+1),0)</f>
        <v>0</v>
      </c>
      <c r="M4" s="5">
        <f>IF(AND(M$3&gt;='Line Items'!$I2,M$3&lt;='Line Items'!$J2),'Line Items'!$H2/('Line Items'!$J2-'Line Items'!$I2+1),0)</f>
        <v>0</v>
      </c>
      <c r="N4" s="5">
        <f>IF(AND(N$3&gt;='Line Items'!$I2,N$3&lt;='Line Items'!$J2),'Line Items'!$H2/('Line Items'!$J2-'Line Items'!$I2+1),0)</f>
        <v>0</v>
      </c>
      <c r="O4" s="5">
        <f t="shared" ref="O4:O26" si="0">SUM(C4:N4)</f>
        <v>6000000</v>
      </c>
    </row>
    <row r="5" spans="1:15" x14ac:dyDescent="0.3">
      <c r="A5" s="4" t="str">
        <f>'Line Items'!A3</f>
        <v>P2</v>
      </c>
      <c r="B5" s="4" t="str">
        <f>'Line Items'!C3</f>
        <v>Staff knowledge assistant interface</v>
      </c>
      <c r="C5" s="5">
        <f>IF(AND(C$3&gt;='Line Items'!$I3,C$3&lt;='Line Items'!$J3),'Line Items'!$H3/('Line Items'!$J3-'Line Items'!$I3+1),0)</f>
        <v>0</v>
      </c>
      <c r="D5" s="5">
        <f>IF(AND(D$3&gt;='Line Items'!$I3,D$3&lt;='Line Items'!$J3),'Line Items'!$H3/('Line Items'!$J3-'Line Items'!$I3+1),0)</f>
        <v>0</v>
      </c>
      <c r="E5" s="5">
        <f>IF(AND(E$3&gt;='Line Items'!$I3,E$3&lt;='Line Items'!$J3),'Line Items'!$H3/('Line Items'!$J3-'Line Items'!$I3+1),0)</f>
        <v>1250000</v>
      </c>
      <c r="F5" s="5">
        <f>IF(AND(F$3&gt;='Line Items'!$I3,F$3&lt;='Line Items'!$J3),'Line Items'!$H3/('Line Items'!$J3-'Line Items'!$I3+1),0)</f>
        <v>1250000</v>
      </c>
      <c r="G5" s="5">
        <f>IF(AND(G$3&gt;='Line Items'!$I3,G$3&lt;='Line Items'!$J3),'Line Items'!$H3/('Line Items'!$J3-'Line Items'!$I3+1),0)</f>
        <v>1250000</v>
      </c>
      <c r="H5" s="5">
        <f>IF(AND(H$3&gt;='Line Items'!$I3,H$3&lt;='Line Items'!$J3),'Line Items'!$H3/('Line Items'!$J3-'Line Items'!$I3+1),0)</f>
        <v>1250000</v>
      </c>
      <c r="I5" s="5">
        <f>IF(AND(I$3&gt;='Line Items'!$I3,I$3&lt;='Line Items'!$J3),'Line Items'!$H3/('Line Items'!$J3-'Line Items'!$I3+1),0)</f>
        <v>0</v>
      </c>
      <c r="J5" s="5">
        <f>IF(AND(J$3&gt;='Line Items'!$I3,J$3&lt;='Line Items'!$J3),'Line Items'!$H3/('Line Items'!$J3-'Line Items'!$I3+1),0)</f>
        <v>0</v>
      </c>
      <c r="K5" s="5">
        <f>IF(AND(K$3&gt;='Line Items'!$I3,K$3&lt;='Line Items'!$J3),'Line Items'!$H3/('Line Items'!$J3-'Line Items'!$I3+1),0)</f>
        <v>0</v>
      </c>
      <c r="L5" s="5">
        <f>IF(AND(L$3&gt;='Line Items'!$I3,L$3&lt;='Line Items'!$J3),'Line Items'!$H3/('Line Items'!$J3-'Line Items'!$I3+1),0)</f>
        <v>0</v>
      </c>
      <c r="M5" s="5">
        <f>IF(AND(M$3&gt;='Line Items'!$I3,M$3&lt;='Line Items'!$J3),'Line Items'!$H3/('Line Items'!$J3-'Line Items'!$I3+1),0)</f>
        <v>0</v>
      </c>
      <c r="N5" s="5">
        <f>IF(AND(N$3&gt;='Line Items'!$I3,N$3&lt;='Line Items'!$J3),'Line Items'!$H3/('Line Items'!$J3-'Line Items'!$I3+1),0)</f>
        <v>0</v>
      </c>
      <c r="O5" s="5">
        <f t="shared" si="0"/>
        <v>5000000</v>
      </c>
    </row>
    <row r="6" spans="1:15" x14ac:dyDescent="0.3">
      <c r="A6" s="4" t="str">
        <f>'Line Items'!A4</f>
        <v>P3</v>
      </c>
      <c r="B6" s="4" t="str">
        <f>'Line Items'!C4</f>
        <v>Verification trace and audit screens</v>
      </c>
      <c r="C6" s="5">
        <f>IF(AND(C$3&gt;='Line Items'!$I4,C$3&lt;='Line Items'!$J4),'Line Items'!$H4/('Line Items'!$J4-'Line Items'!$I4+1),0)</f>
        <v>0</v>
      </c>
      <c r="D6" s="5">
        <f>IF(AND(D$3&gt;='Line Items'!$I4,D$3&lt;='Line Items'!$J4),'Line Items'!$H4/('Line Items'!$J4-'Line Items'!$I4+1),0)</f>
        <v>0</v>
      </c>
      <c r="E6" s="5">
        <f>IF(AND(E$3&gt;='Line Items'!$I4,E$3&lt;='Line Items'!$J4),'Line Items'!$H4/('Line Items'!$J4-'Line Items'!$I4+1),0)</f>
        <v>0</v>
      </c>
      <c r="F6" s="5">
        <f>IF(AND(F$3&gt;='Line Items'!$I4,F$3&lt;='Line Items'!$J4),'Line Items'!$H4/('Line Items'!$J4-'Line Items'!$I4+1),0)</f>
        <v>0</v>
      </c>
      <c r="G6" s="5">
        <f>IF(AND(G$3&gt;='Line Items'!$I4,G$3&lt;='Line Items'!$J4),'Line Items'!$H4/('Line Items'!$J4-'Line Items'!$I4+1),0)</f>
        <v>833333.33333333337</v>
      </c>
      <c r="H6" s="5">
        <f>IF(AND(H$3&gt;='Line Items'!$I4,H$3&lt;='Line Items'!$J4),'Line Items'!$H4/('Line Items'!$J4-'Line Items'!$I4+1),0)</f>
        <v>833333.33333333337</v>
      </c>
      <c r="I6" s="5">
        <f>IF(AND(I$3&gt;='Line Items'!$I4,I$3&lt;='Line Items'!$J4),'Line Items'!$H4/('Line Items'!$J4-'Line Items'!$I4+1),0)</f>
        <v>833333.33333333337</v>
      </c>
      <c r="J6" s="5">
        <f>IF(AND(J$3&gt;='Line Items'!$I4,J$3&lt;='Line Items'!$J4),'Line Items'!$H4/('Line Items'!$J4-'Line Items'!$I4+1),0)</f>
        <v>0</v>
      </c>
      <c r="K6" s="5">
        <f>IF(AND(K$3&gt;='Line Items'!$I4,K$3&lt;='Line Items'!$J4),'Line Items'!$H4/('Line Items'!$J4-'Line Items'!$I4+1),0)</f>
        <v>0</v>
      </c>
      <c r="L6" s="5">
        <f>IF(AND(L$3&gt;='Line Items'!$I4,L$3&lt;='Line Items'!$J4),'Line Items'!$H4/('Line Items'!$J4-'Line Items'!$I4+1),0)</f>
        <v>0</v>
      </c>
      <c r="M6" s="5">
        <f>IF(AND(M$3&gt;='Line Items'!$I4,M$3&lt;='Line Items'!$J4),'Line Items'!$H4/('Line Items'!$J4-'Line Items'!$I4+1),0)</f>
        <v>0</v>
      </c>
      <c r="N6" s="5">
        <f>IF(AND(N$3&gt;='Line Items'!$I4,N$3&lt;='Line Items'!$J4),'Line Items'!$H4/('Line Items'!$J4-'Line Items'!$I4+1),0)</f>
        <v>0</v>
      </c>
      <c r="O6" s="5">
        <f t="shared" si="0"/>
        <v>2500000</v>
      </c>
    </row>
    <row r="7" spans="1:15" x14ac:dyDescent="0.3">
      <c r="A7" s="4" t="str">
        <f>'Line Items'!A5</f>
        <v>P4</v>
      </c>
      <c r="B7" s="4" t="str">
        <f>'Line Items'!C5</f>
        <v>Retrieval speed and reliability work</v>
      </c>
      <c r="C7" s="5">
        <f>IF(AND(C$3&gt;='Line Items'!$I5,C$3&lt;='Line Items'!$J5),'Line Items'!$H5/('Line Items'!$J5-'Line Items'!$I5+1),0)</f>
        <v>666666.66666666663</v>
      </c>
      <c r="D7" s="5">
        <f>IF(AND(D$3&gt;='Line Items'!$I5,D$3&lt;='Line Items'!$J5),'Line Items'!$H5/('Line Items'!$J5-'Line Items'!$I5+1),0)</f>
        <v>666666.66666666663</v>
      </c>
      <c r="E7" s="5">
        <f>IF(AND(E$3&gt;='Line Items'!$I5,E$3&lt;='Line Items'!$J5),'Line Items'!$H5/('Line Items'!$J5-'Line Items'!$I5+1),0)</f>
        <v>666666.66666666663</v>
      </c>
      <c r="F7" s="5">
        <f>IF(AND(F$3&gt;='Line Items'!$I5,F$3&lt;='Line Items'!$J5),'Line Items'!$H5/('Line Items'!$J5-'Line Items'!$I5+1),0)</f>
        <v>0</v>
      </c>
      <c r="G7" s="5">
        <f>IF(AND(G$3&gt;='Line Items'!$I5,G$3&lt;='Line Items'!$J5),'Line Items'!$H5/('Line Items'!$J5-'Line Items'!$I5+1),0)</f>
        <v>0</v>
      </c>
      <c r="H7" s="5">
        <f>IF(AND(H$3&gt;='Line Items'!$I5,H$3&lt;='Line Items'!$J5),'Line Items'!$H5/('Line Items'!$J5-'Line Items'!$I5+1),0)</f>
        <v>0</v>
      </c>
      <c r="I7" s="5">
        <f>IF(AND(I$3&gt;='Line Items'!$I5,I$3&lt;='Line Items'!$J5),'Line Items'!$H5/('Line Items'!$J5-'Line Items'!$I5+1),0)</f>
        <v>0</v>
      </c>
      <c r="J7" s="5">
        <f>IF(AND(J$3&gt;='Line Items'!$I5,J$3&lt;='Line Items'!$J5),'Line Items'!$H5/('Line Items'!$J5-'Line Items'!$I5+1),0)</f>
        <v>0</v>
      </c>
      <c r="K7" s="5">
        <f>IF(AND(K$3&gt;='Line Items'!$I5,K$3&lt;='Line Items'!$J5),'Line Items'!$H5/('Line Items'!$J5-'Line Items'!$I5+1),0)</f>
        <v>0</v>
      </c>
      <c r="L7" s="5">
        <f>IF(AND(L$3&gt;='Line Items'!$I5,L$3&lt;='Line Items'!$J5),'Line Items'!$H5/('Line Items'!$J5-'Line Items'!$I5+1),0)</f>
        <v>0</v>
      </c>
      <c r="M7" s="5">
        <f>IF(AND(M$3&gt;='Line Items'!$I5,M$3&lt;='Line Items'!$J5),'Line Items'!$H5/('Line Items'!$J5-'Line Items'!$I5+1),0)</f>
        <v>0</v>
      </c>
      <c r="N7" s="5">
        <f>IF(AND(N$3&gt;='Line Items'!$I5,N$3&lt;='Line Items'!$J5),'Line Items'!$H5/('Line Items'!$J5-'Line Items'!$I5+1),0)</f>
        <v>0</v>
      </c>
      <c r="O7" s="5">
        <f t="shared" si="0"/>
        <v>2000000</v>
      </c>
    </row>
    <row r="8" spans="1:15" x14ac:dyDescent="0.3">
      <c r="A8" s="4" t="str">
        <f>'Line Items'!A6</f>
        <v>P5</v>
      </c>
      <c r="B8" s="4" t="str">
        <f>'Line Items'!C6</f>
        <v>Filing ingestion and company registry tooling</v>
      </c>
      <c r="C8" s="5">
        <f>IF(AND(C$3&gt;='Line Items'!$I6,C$3&lt;='Line Items'!$J6),'Line Items'!$H6/('Line Items'!$J6-'Line Items'!$I6+1),0)</f>
        <v>0</v>
      </c>
      <c r="D8" s="5">
        <f>IF(AND(D$3&gt;='Line Items'!$I6,D$3&lt;='Line Items'!$J6),'Line Items'!$H6/('Line Items'!$J6-'Line Items'!$I6+1),0)</f>
        <v>833333.33333333337</v>
      </c>
      <c r="E8" s="5">
        <f>IF(AND(E$3&gt;='Line Items'!$I6,E$3&lt;='Line Items'!$J6),'Line Items'!$H6/('Line Items'!$J6-'Line Items'!$I6+1),0)</f>
        <v>833333.33333333337</v>
      </c>
      <c r="F8" s="5">
        <f>IF(AND(F$3&gt;='Line Items'!$I6,F$3&lt;='Line Items'!$J6),'Line Items'!$H6/('Line Items'!$J6-'Line Items'!$I6+1),0)</f>
        <v>833333.33333333337</v>
      </c>
      <c r="G8" s="5">
        <f>IF(AND(G$3&gt;='Line Items'!$I6,G$3&lt;='Line Items'!$J6),'Line Items'!$H6/('Line Items'!$J6-'Line Items'!$I6+1),0)</f>
        <v>0</v>
      </c>
      <c r="H8" s="5">
        <f>IF(AND(H$3&gt;='Line Items'!$I6,H$3&lt;='Line Items'!$J6),'Line Items'!$H6/('Line Items'!$J6-'Line Items'!$I6+1),0)</f>
        <v>0</v>
      </c>
      <c r="I8" s="5">
        <f>IF(AND(I$3&gt;='Line Items'!$I6,I$3&lt;='Line Items'!$J6),'Line Items'!$H6/('Line Items'!$J6-'Line Items'!$I6+1),0)</f>
        <v>0</v>
      </c>
      <c r="J8" s="5">
        <f>IF(AND(J$3&gt;='Line Items'!$I6,J$3&lt;='Line Items'!$J6),'Line Items'!$H6/('Line Items'!$J6-'Line Items'!$I6+1),0)</f>
        <v>0</v>
      </c>
      <c r="K8" s="5">
        <f>IF(AND(K$3&gt;='Line Items'!$I6,K$3&lt;='Line Items'!$J6),'Line Items'!$H6/('Line Items'!$J6-'Line Items'!$I6+1),0)</f>
        <v>0</v>
      </c>
      <c r="L8" s="5">
        <f>IF(AND(L$3&gt;='Line Items'!$I6,L$3&lt;='Line Items'!$J6),'Line Items'!$H6/('Line Items'!$J6-'Line Items'!$I6+1),0)</f>
        <v>0</v>
      </c>
      <c r="M8" s="5">
        <f>IF(AND(M$3&gt;='Line Items'!$I6,M$3&lt;='Line Items'!$J6),'Line Items'!$H6/('Line Items'!$J6-'Line Items'!$I6+1),0)</f>
        <v>0</v>
      </c>
      <c r="N8" s="5">
        <f>IF(AND(N$3&gt;='Line Items'!$I6,N$3&lt;='Line Items'!$J6),'Line Items'!$H6/('Line Items'!$J6-'Line Items'!$I6+1),0)</f>
        <v>0</v>
      </c>
      <c r="O8" s="5">
        <f t="shared" si="0"/>
        <v>2500000</v>
      </c>
    </row>
    <row r="9" spans="1:15" x14ac:dyDescent="0.3">
      <c r="A9" s="4" t="str">
        <f>'Line Items'!A7</f>
        <v>P6</v>
      </c>
      <c r="B9" s="4" t="str">
        <f>'Line Items'!C7</f>
        <v>UI and UX design, user testing with staff</v>
      </c>
      <c r="C9" s="5">
        <f>IF(AND(C$3&gt;='Line Items'!$I7,C$3&lt;='Line Items'!$J7),'Line Items'!$H7/('Line Items'!$J7-'Line Items'!$I7+1),0)</f>
        <v>666666.66666666663</v>
      </c>
      <c r="D9" s="5">
        <f>IF(AND(D$3&gt;='Line Items'!$I7,D$3&lt;='Line Items'!$J7),'Line Items'!$H7/('Line Items'!$J7-'Line Items'!$I7+1),0)</f>
        <v>666666.66666666663</v>
      </c>
      <c r="E9" s="5">
        <f>IF(AND(E$3&gt;='Line Items'!$I7,E$3&lt;='Line Items'!$J7),'Line Items'!$H7/('Line Items'!$J7-'Line Items'!$I7+1),0)</f>
        <v>666666.66666666663</v>
      </c>
      <c r="F9" s="5">
        <f>IF(AND(F$3&gt;='Line Items'!$I7,F$3&lt;='Line Items'!$J7),'Line Items'!$H7/('Line Items'!$J7-'Line Items'!$I7+1),0)</f>
        <v>0</v>
      </c>
      <c r="G9" s="5">
        <f>IF(AND(G$3&gt;='Line Items'!$I7,G$3&lt;='Line Items'!$J7),'Line Items'!$H7/('Line Items'!$J7-'Line Items'!$I7+1),0)</f>
        <v>0</v>
      </c>
      <c r="H9" s="5">
        <f>IF(AND(H$3&gt;='Line Items'!$I7,H$3&lt;='Line Items'!$J7),'Line Items'!$H7/('Line Items'!$J7-'Line Items'!$I7+1),0)</f>
        <v>0</v>
      </c>
      <c r="I9" s="5">
        <f>IF(AND(I$3&gt;='Line Items'!$I7,I$3&lt;='Line Items'!$J7),'Line Items'!$H7/('Line Items'!$J7-'Line Items'!$I7+1),0)</f>
        <v>0</v>
      </c>
      <c r="J9" s="5">
        <f>IF(AND(J$3&gt;='Line Items'!$I7,J$3&lt;='Line Items'!$J7),'Line Items'!$H7/('Line Items'!$J7-'Line Items'!$I7+1),0)</f>
        <v>0</v>
      </c>
      <c r="K9" s="5">
        <f>IF(AND(K$3&gt;='Line Items'!$I7,K$3&lt;='Line Items'!$J7),'Line Items'!$H7/('Line Items'!$J7-'Line Items'!$I7+1),0)</f>
        <v>0</v>
      </c>
      <c r="L9" s="5">
        <f>IF(AND(L$3&gt;='Line Items'!$I7,L$3&lt;='Line Items'!$J7),'Line Items'!$H7/('Line Items'!$J7-'Line Items'!$I7+1),0)</f>
        <v>0</v>
      </c>
      <c r="M9" s="5">
        <f>IF(AND(M$3&gt;='Line Items'!$I7,M$3&lt;='Line Items'!$J7),'Line Items'!$H7/('Line Items'!$J7-'Line Items'!$I7+1),0)</f>
        <v>0</v>
      </c>
      <c r="N9" s="5">
        <f>IF(AND(N$3&gt;='Line Items'!$I7,N$3&lt;='Line Items'!$J7),'Line Items'!$H7/('Line Items'!$J7-'Line Items'!$I7+1),0)</f>
        <v>0</v>
      </c>
      <c r="O9" s="5">
        <f t="shared" si="0"/>
        <v>2000000</v>
      </c>
    </row>
    <row r="10" spans="1:15" x14ac:dyDescent="0.3">
      <c r="A10" s="4" t="str">
        <f>'Line Items'!A8</f>
        <v>T1</v>
      </c>
      <c r="B10" s="4" t="str">
        <f>'Line Items'!C8</f>
        <v>Part time software engineer</v>
      </c>
      <c r="C10" s="5">
        <f>IF(AND(C$3&gt;='Line Items'!$I8,C$3&lt;='Line Items'!$J8),'Line Items'!$H8/('Line Items'!$J8-'Line Items'!$I8+1),0)</f>
        <v>0</v>
      </c>
      <c r="D10" s="5">
        <f>IF(AND(D$3&gt;='Line Items'!$I8,D$3&lt;='Line Items'!$J8),'Line Items'!$H8/('Line Items'!$J8-'Line Items'!$I8+1),0)</f>
        <v>450000</v>
      </c>
      <c r="E10" s="5">
        <f>IF(AND(E$3&gt;='Line Items'!$I8,E$3&lt;='Line Items'!$J8),'Line Items'!$H8/('Line Items'!$J8-'Line Items'!$I8+1),0)</f>
        <v>450000</v>
      </c>
      <c r="F10" s="5">
        <f>IF(AND(F$3&gt;='Line Items'!$I8,F$3&lt;='Line Items'!$J8),'Line Items'!$H8/('Line Items'!$J8-'Line Items'!$I8+1),0)</f>
        <v>450000</v>
      </c>
      <c r="G10" s="5">
        <f>IF(AND(G$3&gt;='Line Items'!$I8,G$3&lt;='Line Items'!$J8),'Line Items'!$H8/('Line Items'!$J8-'Line Items'!$I8+1),0)</f>
        <v>450000</v>
      </c>
      <c r="H10" s="5">
        <f>IF(AND(H$3&gt;='Line Items'!$I8,H$3&lt;='Line Items'!$J8),'Line Items'!$H8/('Line Items'!$J8-'Line Items'!$I8+1),0)</f>
        <v>450000</v>
      </c>
      <c r="I10" s="5">
        <f>IF(AND(I$3&gt;='Line Items'!$I8,I$3&lt;='Line Items'!$J8),'Line Items'!$H8/('Line Items'!$J8-'Line Items'!$I8+1),0)</f>
        <v>450000</v>
      </c>
      <c r="J10" s="5">
        <f>IF(AND(J$3&gt;='Line Items'!$I8,J$3&lt;='Line Items'!$J8),'Line Items'!$H8/('Line Items'!$J8-'Line Items'!$I8+1),0)</f>
        <v>450000</v>
      </c>
      <c r="K10" s="5">
        <f>IF(AND(K$3&gt;='Line Items'!$I8,K$3&lt;='Line Items'!$J8),'Line Items'!$H8/('Line Items'!$J8-'Line Items'!$I8+1),0)</f>
        <v>450000</v>
      </c>
      <c r="L10" s="5">
        <f>IF(AND(L$3&gt;='Line Items'!$I8,L$3&lt;='Line Items'!$J8),'Line Items'!$H8/('Line Items'!$J8-'Line Items'!$I8+1),0)</f>
        <v>450000</v>
      </c>
      <c r="M10" s="5">
        <f>IF(AND(M$3&gt;='Line Items'!$I8,M$3&lt;='Line Items'!$J8),'Line Items'!$H8/('Line Items'!$J8-'Line Items'!$I8+1),0)</f>
        <v>450000</v>
      </c>
      <c r="N10" s="5">
        <f>IF(AND(N$3&gt;='Line Items'!$I8,N$3&lt;='Line Items'!$J8),'Line Items'!$H8/('Line Items'!$J8-'Line Items'!$I8+1),0)</f>
        <v>0</v>
      </c>
      <c r="O10" s="5">
        <f t="shared" si="0"/>
        <v>4500000</v>
      </c>
    </row>
    <row r="11" spans="1:15" x14ac:dyDescent="0.3">
      <c r="A11" s="4" t="str">
        <f>'Line Items'!A9</f>
        <v>T2</v>
      </c>
      <c r="B11" s="4" t="str">
        <f>'Line Items'!C9</f>
        <v>Sales and partnerships support</v>
      </c>
      <c r="C11" s="5">
        <f>IF(AND(C$3&gt;='Line Items'!$I9,C$3&lt;='Line Items'!$J9),'Line Items'!$H9/('Line Items'!$J9-'Line Items'!$I9+1),0)</f>
        <v>0</v>
      </c>
      <c r="D11" s="5">
        <f>IF(AND(D$3&gt;='Line Items'!$I9,D$3&lt;='Line Items'!$J9),'Line Items'!$H9/('Line Items'!$J9-'Line Items'!$I9+1),0)</f>
        <v>0</v>
      </c>
      <c r="E11" s="5">
        <f>IF(AND(E$3&gt;='Line Items'!$I9,E$3&lt;='Line Items'!$J9),'Line Items'!$H9/('Line Items'!$J9-'Line Items'!$I9+1),0)</f>
        <v>0</v>
      </c>
      <c r="F11" s="5">
        <f>IF(AND(F$3&gt;='Line Items'!$I9,F$3&lt;='Line Items'!$J9),'Line Items'!$H9/('Line Items'!$J9-'Line Items'!$I9+1),0)</f>
        <v>300000</v>
      </c>
      <c r="G11" s="5">
        <f>IF(AND(G$3&gt;='Line Items'!$I9,G$3&lt;='Line Items'!$J9),'Line Items'!$H9/('Line Items'!$J9-'Line Items'!$I9+1),0)</f>
        <v>300000</v>
      </c>
      <c r="H11" s="5">
        <f>IF(AND(H$3&gt;='Line Items'!$I9,H$3&lt;='Line Items'!$J9),'Line Items'!$H9/('Line Items'!$J9-'Line Items'!$I9+1),0)</f>
        <v>300000</v>
      </c>
      <c r="I11" s="5">
        <f>IF(AND(I$3&gt;='Line Items'!$I9,I$3&lt;='Line Items'!$J9),'Line Items'!$H9/('Line Items'!$J9-'Line Items'!$I9+1),0)</f>
        <v>300000</v>
      </c>
      <c r="J11" s="5">
        <f>IF(AND(J$3&gt;='Line Items'!$I9,J$3&lt;='Line Items'!$J9),'Line Items'!$H9/('Line Items'!$J9-'Line Items'!$I9+1),0)</f>
        <v>300000</v>
      </c>
      <c r="K11" s="5">
        <f>IF(AND(K$3&gt;='Line Items'!$I9,K$3&lt;='Line Items'!$J9),'Line Items'!$H9/('Line Items'!$J9-'Line Items'!$I9+1),0)</f>
        <v>300000</v>
      </c>
      <c r="L11" s="5">
        <f>IF(AND(L$3&gt;='Line Items'!$I9,L$3&lt;='Line Items'!$J9),'Line Items'!$H9/('Line Items'!$J9-'Line Items'!$I9+1),0)</f>
        <v>300000</v>
      </c>
      <c r="M11" s="5">
        <f>IF(AND(M$3&gt;='Line Items'!$I9,M$3&lt;='Line Items'!$J9),'Line Items'!$H9/('Line Items'!$J9-'Line Items'!$I9+1),0)</f>
        <v>300000</v>
      </c>
      <c r="N11" s="5">
        <f>IF(AND(N$3&gt;='Line Items'!$I9,N$3&lt;='Line Items'!$J9),'Line Items'!$H9/('Line Items'!$J9-'Line Items'!$I9+1),0)</f>
        <v>300000</v>
      </c>
      <c r="O11" s="5">
        <f t="shared" si="0"/>
        <v>2700000</v>
      </c>
    </row>
    <row r="12" spans="1:15" x14ac:dyDescent="0.3">
      <c r="A12" s="4" t="str">
        <f>'Line Items'!A10</f>
        <v>T3</v>
      </c>
      <c r="B12" s="4" t="str">
        <f>'Line Items'!C10</f>
        <v>Banking compliance advisor</v>
      </c>
      <c r="C12" s="5">
        <f>IF(AND(C$3&gt;='Line Items'!$I10,C$3&lt;='Line Items'!$J10),'Line Items'!$H10/('Line Items'!$J10-'Line Items'!$I10+1),0)</f>
        <v>0</v>
      </c>
      <c r="D12" s="5">
        <f>IF(AND(D$3&gt;='Line Items'!$I10,D$3&lt;='Line Items'!$J10),'Line Items'!$H10/('Line Items'!$J10-'Line Items'!$I10+1),0)</f>
        <v>0</v>
      </c>
      <c r="E12" s="5">
        <f>IF(AND(E$3&gt;='Line Items'!$I10,E$3&lt;='Line Items'!$J10),'Line Items'!$H10/('Line Items'!$J10-'Line Items'!$I10+1),0)</f>
        <v>80000</v>
      </c>
      <c r="F12" s="5">
        <f>IF(AND(F$3&gt;='Line Items'!$I10,F$3&lt;='Line Items'!$J10),'Line Items'!$H10/('Line Items'!$J10-'Line Items'!$I10+1),0)</f>
        <v>80000</v>
      </c>
      <c r="G12" s="5">
        <f>IF(AND(G$3&gt;='Line Items'!$I10,G$3&lt;='Line Items'!$J10),'Line Items'!$H10/('Line Items'!$J10-'Line Items'!$I10+1),0)</f>
        <v>80000</v>
      </c>
      <c r="H12" s="5">
        <f>IF(AND(H$3&gt;='Line Items'!$I10,H$3&lt;='Line Items'!$J10),'Line Items'!$H10/('Line Items'!$J10-'Line Items'!$I10+1),0)</f>
        <v>80000</v>
      </c>
      <c r="I12" s="5">
        <f>IF(AND(I$3&gt;='Line Items'!$I10,I$3&lt;='Line Items'!$J10),'Line Items'!$H10/('Line Items'!$J10-'Line Items'!$I10+1),0)</f>
        <v>80000</v>
      </c>
      <c r="J12" s="5">
        <f>IF(AND(J$3&gt;='Line Items'!$I10,J$3&lt;='Line Items'!$J10),'Line Items'!$H10/('Line Items'!$J10-'Line Items'!$I10+1),0)</f>
        <v>80000</v>
      </c>
      <c r="K12" s="5">
        <f>IF(AND(K$3&gt;='Line Items'!$I10,K$3&lt;='Line Items'!$J10),'Line Items'!$H10/('Line Items'!$J10-'Line Items'!$I10+1),0)</f>
        <v>80000</v>
      </c>
      <c r="L12" s="5">
        <f>IF(AND(L$3&gt;='Line Items'!$I10,L$3&lt;='Line Items'!$J10),'Line Items'!$H10/('Line Items'!$J10-'Line Items'!$I10+1),0)</f>
        <v>80000</v>
      </c>
      <c r="M12" s="5">
        <f>IF(AND(M$3&gt;='Line Items'!$I10,M$3&lt;='Line Items'!$J10),'Line Items'!$H10/('Line Items'!$J10-'Line Items'!$I10+1),0)</f>
        <v>80000</v>
      </c>
      <c r="N12" s="5">
        <f>IF(AND(N$3&gt;='Line Items'!$I10,N$3&lt;='Line Items'!$J10),'Line Items'!$H10/('Line Items'!$J10-'Line Items'!$I10+1),0)</f>
        <v>80000</v>
      </c>
      <c r="O12" s="5">
        <f t="shared" si="0"/>
        <v>800000</v>
      </c>
    </row>
    <row r="13" spans="1:15" x14ac:dyDescent="0.3">
      <c r="A13" s="4" t="str">
        <f>'Line Items'!A11</f>
        <v>L1</v>
      </c>
      <c r="B13" s="4" t="str">
        <f>'Line Items'!C11</f>
        <v>Integration work for one institution</v>
      </c>
      <c r="C13" s="5">
        <f>IF(AND(C$3&gt;='Line Items'!$I11,C$3&lt;='Line Items'!$J11),'Line Items'!$H11/('Line Items'!$J11-'Line Items'!$I11+1),0)</f>
        <v>0</v>
      </c>
      <c r="D13" s="5">
        <f>IF(AND(D$3&gt;='Line Items'!$I11,D$3&lt;='Line Items'!$J11),'Line Items'!$H11/('Line Items'!$J11-'Line Items'!$I11+1),0)</f>
        <v>0</v>
      </c>
      <c r="E13" s="5">
        <f>IF(AND(E$3&gt;='Line Items'!$I11,E$3&lt;='Line Items'!$J11),'Line Items'!$H11/('Line Items'!$J11-'Line Items'!$I11+1),0)</f>
        <v>0</v>
      </c>
      <c r="F13" s="5">
        <f>IF(AND(F$3&gt;='Line Items'!$I11,F$3&lt;='Line Items'!$J11),'Line Items'!$H11/('Line Items'!$J11-'Line Items'!$I11+1),0)</f>
        <v>0</v>
      </c>
      <c r="G13" s="5">
        <f>IF(AND(G$3&gt;='Line Items'!$I11,G$3&lt;='Line Items'!$J11),'Line Items'!$H11/('Line Items'!$J11-'Line Items'!$I11+1),0)</f>
        <v>0</v>
      </c>
      <c r="H13" s="5">
        <f>IF(AND(H$3&gt;='Line Items'!$I11,H$3&lt;='Line Items'!$J11),'Line Items'!$H11/('Line Items'!$J11-'Line Items'!$I11+1),0)</f>
        <v>1333333.3333333333</v>
      </c>
      <c r="I13" s="5">
        <f>IF(AND(I$3&gt;='Line Items'!$I11,I$3&lt;='Line Items'!$J11),'Line Items'!$H11/('Line Items'!$J11-'Line Items'!$I11+1),0)</f>
        <v>1333333.3333333333</v>
      </c>
      <c r="J13" s="5">
        <f>IF(AND(J$3&gt;='Line Items'!$I11,J$3&lt;='Line Items'!$J11),'Line Items'!$H11/('Line Items'!$J11-'Line Items'!$I11+1),0)</f>
        <v>1333333.3333333333</v>
      </c>
      <c r="K13" s="5">
        <f>IF(AND(K$3&gt;='Line Items'!$I11,K$3&lt;='Line Items'!$J11),'Line Items'!$H11/('Line Items'!$J11-'Line Items'!$I11+1),0)</f>
        <v>0</v>
      </c>
      <c r="L13" s="5">
        <f>IF(AND(L$3&gt;='Line Items'!$I11,L$3&lt;='Line Items'!$J11),'Line Items'!$H11/('Line Items'!$J11-'Line Items'!$I11+1),0)</f>
        <v>0</v>
      </c>
      <c r="M13" s="5">
        <f>IF(AND(M$3&gt;='Line Items'!$I11,M$3&lt;='Line Items'!$J11),'Line Items'!$H11/('Line Items'!$J11-'Line Items'!$I11+1),0)</f>
        <v>0</v>
      </c>
      <c r="N13" s="5">
        <f>IF(AND(N$3&gt;='Line Items'!$I11,N$3&lt;='Line Items'!$J11),'Line Items'!$H11/('Line Items'!$J11-'Line Items'!$I11+1),0)</f>
        <v>0</v>
      </c>
      <c r="O13" s="5">
        <f t="shared" si="0"/>
        <v>4000000</v>
      </c>
    </row>
    <row r="14" spans="1:15" x14ac:dyDescent="0.3">
      <c r="A14" s="4" t="str">
        <f>'Line Items'!A12</f>
        <v>L2</v>
      </c>
      <c r="B14" s="4" t="str">
        <f>'Line Items'!C12</f>
        <v>Deployment and staff training</v>
      </c>
      <c r="C14" s="5">
        <f>IF(AND(C$3&gt;='Line Items'!$I12,C$3&lt;='Line Items'!$J12),'Line Items'!$H12/('Line Items'!$J12-'Line Items'!$I12+1),0)</f>
        <v>0</v>
      </c>
      <c r="D14" s="5">
        <f>IF(AND(D$3&gt;='Line Items'!$I12,D$3&lt;='Line Items'!$J12),'Line Items'!$H12/('Line Items'!$J12-'Line Items'!$I12+1),0)</f>
        <v>0</v>
      </c>
      <c r="E14" s="5">
        <f>IF(AND(E$3&gt;='Line Items'!$I12,E$3&lt;='Line Items'!$J12),'Line Items'!$H12/('Line Items'!$J12-'Line Items'!$I12+1),0)</f>
        <v>0</v>
      </c>
      <c r="F14" s="5">
        <f>IF(AND(F$3&gt;='Line Items'!$I12,F$3&lt;='Line Items'!$J12),'Line Items'!$H12/('Line Items'!$J12-'Line Items'!$I12+1),0)</f>
        <v>0</v>
      </c>
      <c r="G14" s="5">
        <f>IF(AND(G$3&gt;='Line Items'!$I12,G$3&lt;='Line Items'!$J12),'Line Items'!$H12/('Line Items'!$J12-'Line Items'!$I12+1),0)</f>
        <v>0</v>
      </c>
      <c r="H14" s="5">
        <f>IF(AND(H$3&gt;='Line Items'!$I12,H$3&lt;='Line Items'!$J12),'Line Items'!$H12/('Line Items'!$J12-'Line Items'!$I12+1),0)</f>
        <v>0</v>
      </c>
      <c r="I14" s="5">
        <f>IF(AND(I$3&gt;='Line Items'!$I12,I$3&lt;='Line Items'!$J12),'Line Items'!$H12/('Line Items'!$J12-'Line Items'!$I12+1),0)</f>
        <v>0</v>
      </c>
      <c r="J14" s="5">
        <f>IF(AND(J$3&gt;='Line Items'!$I12,J$3&lt;='Line Items'!$J12),'Line Items'!$H12/('Line Items'!$J12-'Line Items'!$I12+1),0)</f>
        <v>750000</v>
      </c>
      <c r="K14" s="5">
        <f>IF(AND(K$3&gt;='Line Items'!$I12,K$3&lt;='Line Items'!$J12),'Line Items'!$H12/('Line Items'!$J12-'Line Items'!$I12+1),0)</f>
        <v>750000</v>
      </c>
      <c r="L14" s="5">
        <f>IF(AND(L$3&gt;='Line Items'!$I12,L$3&lt;='Line Items'!$J12),'Line Items'!$H12/('Line Items'!$J12-'Line Items'!$I12+1),0)</f>
        <v>0</v>
      </c>
      <c r="M14" s="5">
        <f>IF(AND(M$3&gt;='Line Items'!$I12,M$3&lt;='Line Items'!$J12),'Line Items'!$H12/('Line Items'!$J12-'Line Items'!$I12+1),0)</f>
        <v>0</v>
      </c>
      <c r="N14" s="5">
        <f>IF(AND(N$3&gt;='Line Items'!$I12,N$3&lt;='Line Items'!$J12),'Line Items'!$H12/('Line Items'!$J12-'Line Items'!$I12+1),0)</f>
        <v>0</v>
      </c>
      <c r="O14" s="5">
        <f t="shared" si="0"/>
        <v>1500000</v>
      </c>
    </row>
    <row r="15" spans="1:15" x14ac:dyDescent="0.3">
      <c r="A15" s="4" t="str">
        <f>'Line Items'!A13</f>
        <v>L3</v>
      </c>
      <c r="B15" s="4" t="str">
        <f>'Line Items'!C13</f>
        <v>Pilot support and monitoring</v>
      </c>
      <c r="C15" s="5">
        <f>IF(AND(C$3&gt;='Line Items'!$I13,C$3&lt;='Line Items'!$J13),'Line Items'!$H13/('Line Items'!$J13-'Line Items'!$I13+1),0)</f>
        <v>0</v>
      </c>
      <c r="D15" s="5">
        <f>IF(AND(D$3&gt;='Line Items'!$I13,D$3&lt;='Line Items'!$J13),'Line Items'!$H13/('Line Items'!$J13-'Line Items'!$I13+1),0)</f>
        <v>0</v>
      </c>
      <c r="E15" s="5">
        <f>IF(AND(E$3&gt;='Line Items'!$I13,E$3&lt;='Line Items'!$J13),'Line Items'!$H13/('Line Items'!$J13-'Line Items'!$I13+1),0)</f>
        <v>0</v>
      </c>
      <c r="F15" s="5">
        <f>IF(AND(F$3&gt;='Line Items'!$I13,F$3&lt;='Line Items'!$J13),'Line Items'!$H13/('Line Items'!$J13-'Line Items'!$I13+1),0)</f>
        <v>0</v>
      </c>
      <c r="G15" s="5">
        <f>IF(AND(G$3&gt;='Line Items'!$I13,G$3&lt;='Line Items'!$J13),'Line Items'!$H13/('Line Items'!$J13-'Line Items'!$I13+1),0)</f>
        <v>0</v>
      </c>
      <c r="H15" s="5">
        <f>IF(AND(H$3&gt;='Line Items'!$I13,H$3&lt;='Line Items'!$J13),'Line Items'!$H13/('Line Items'!$J13-'Line Items'!$I13+1),0)</f>
        <v>0</v>
      </c>
      <c r="I15" s="5">
        <f>IF(AND(I$3&gt;='Line Items'!$I13,I$3&lt;='Line Items'!$J13),'Line Items'!$H13/('Line Items'!$J13-'Line Items'!$I13+1),0)</f>
        <v>0</v>
      </c>
      <c r="J15" s="5">
        <f>IF(AND(J$3&gt;='Line Items'!$I13,J$3&lt;='Line Items'!$J13),'Line Items'!$H13/('Line Items'!$J13-'Line Items'!$I13+1),0)</f>
        <v>0</v>
      </c>
      <c r="K15" s="5">
        <f>IF(AND(K$3&gt;='Line Items'!$I13,K$3&lt;='Line Items'!$J13),'Line Items'!$H13/('Line Items'!$J13-'Line Items'!$I13+1),0)</f>
        <v>500000</v>
      </c>
      <c r="L15" s="5">
        <f>IF(AND(L$3&gt;='Line Items'!$I13,L$3&lt;='Line Items'!$J13),'Line Items'!$H13/('Line Items'!$J13-'Line Items'!$I13+1),0)</f>
        <v>500000</v>
      </c>
      <c r="M15" s="5">
        <f>IF(AND(M$3&gt;='Line Items'!$I13,M$3&lt;='Line Items'!$J13),'Line Items'!$H13/('Line Items'!$J13-'Line Items'!$I13+1),0)</f>
        <v>500000</v>
      </c>
      <c r="N15" s="5">
        <f>IF(AND(N$3&gt;='Line Items'!$I13,N$3&lt;='Line Items'!$J13),'Line Items'!$H13/('Line Items'!$J13-'Line Items'!$I13+1),0)</f>
        <v>0</v>
      </c>
      <c r="O15" s="5">
        <f t="shared" si="0"/>
        <v>1500000</v>
      </c>
    </row>
    <row r="16" spans="1:15" x14ac:dyDescent="0.3">
      <c r="A16" s="4" t="str">
        <f>'Line Items'!A14</f>
        <v>L4</v>
      </c>
      <c r="B16" s="4" t="str">
        <f>'Line Items'!C14</f>
        <v>Travel and meetings</v>
      </c>
      <c r="C16" s="5">
        <f>IF(AND(C$3&gt;='Line Items'!$I14,C$3&lt;='Line Items'!$J14),'Line Items'!$H14/('Line Items'!$J14-'Line Items'!$I14+1),0)</f>
        <v>0</v>
      </c>
      <c r="D16" s="5">
        <f>IF(AND(D$3&gt;='Line Items'!$I14,D$3&lt;='Line Items'!$J14),'Line Items'!$H14/('Line Items'!$J14-'Line Items'!$I14+1),0)</f>
        <v>0</v>
      </c>
      <c r="E16" s="5">
        <f>IF(AND(E$3&gt;='Line Items'!$I14,E$3&lt;='Line Items'!$J14),'Line Items'!$H14/('Line Items'!$J14-'Line Items'!$I14+1),0)</f>
        <v>0</v>
      </c>
      <c r="F16" s="5">
        <f>IF(AND(F$3&gt;='Line Items'!$I14,F$3&lt;='Line Items'!$J14),'Line Items'!$H14/('Line Items'!$J14-'Line Items'!$I14+1),0)</f>
        <v>111111.11111111111</v>
      </c>
      <c r="G16" s="5">
        <f>IF(AND(G$3&gt;='Line Items'!$I14,G$3&lt;='Line Items'!$J14),'Line Items'!$H14/('Line Items'!$J14-'Line Items'!$I14+1),0)</f>
        <v>111111.11111111111</v>
      </c>
      <c r="H16" s="5">
        <f>IF(AND(H$3&gt;='Line Items'!$I14,H$3&lt;='Line Items'!$J14),'Line Items'!$H14/('Line Items'!$J14-'Line Items'!$I14+1),0)</f>
        <v>111111.11111111111</v>
      </c>
      <c r="I16" s="5">
        <f>IF(AND(I$3&gt;='Line Items'!$I14,I$3&lt;='Line Items'!$J14),'Line Items'!$H14/('Line Items'!$J14-'Line Items'!$I14+1),0)</f>
        <v>111111.11111111111</v>
      </c>
      <c r="J16" s="5">
        <f>IF(AND(J$3&gt;='Line Items'!$I14,J$3&lt;='Line Items'!$J14),'Line Items'!$H14/('Line Items'!$J14-'Line Items'!$I14+1),0)</f>
        <v>111111.11111111111</v>
      </c>
      <c r="K16" s="5">
        <f>IF(AND(K$3&gt;='Line Items'!$I14,K$3&lt;='Line Items'!$J14),'Line Items'!$H14/('Line Items'!$J14-'Line Items'!$I14+1),0)</f>
        <v>111111.11111111111</v>
      </c>
      <c r="L16" s="5">
        <f>IF(AND(L$3&gt;='Line Items'!$I14,L$3&lt;='Line Items'!$J14),'Line Items'!$H14/('Line Items'!$J14-'Line Items'!$I14+1),0)</f>
        <v>111111.11111111111</v>
      </c>
      <c r="M16" s="5">
        <f>IF(AND(M$3&gt;='Line Items'!$I14,M$3&lt;='Line Items'!$J14),'Line Items'!$H14/('Line Items'!$J14-'Line Items'!$I14+1),0)</f>
        <v>111111.11111111111</v>
      </c>
      <c r="N16" s="5">
        <f>IF(AND(N$3&gt;='Line Items'!$I14,N$3&lt;='Line Items'!$J14),'Line Items'!$H14/('Line Items'!$J14-'Line Items'!$I14+1),0)</f>
        <v>111111.11111111111</v>
      </c>
      <c r="O16" s="5">
        <f t="shared" si="0"/>
        <v>1000000</v>
      </c>
    </row>
    <row r="17" spans="1:15" x14ac:dyDescent="0.3">
      <c r="A17" s="4" t="str">
        <f>'Line Items'!A15</f>
        <v>S1</v>
      </c>
      <c r="B17" s="4" t="str">
        <f>'Line Items'!C15</f>
        <v>Independent penetration test</v>
      </c>
      <c r="C17" s="5">
        <f>IF(AND(C$3&gt;='Line Items'!$I15,C$3&lt;='Line Items'!$J15),'Line Items'!$H15/('Line Items'!$J15-'Line Items'!$I15+1),0)</f>
        <v>0</v>
      </c>
      <c r="D17" s="5">
        <f>IF(AND(D$3&gt;='Line Items'!$I15,D$3&lt;='Line Items'!$J15),'Line Items'!$H15/('Line Items'!$J15-'Line Items'!$I15+1),0)</f>
        <v>0</v>
      </c>
      <c r="E17" s="5">
        <f>IF(AND(E$3&gt;='Line Items'!$I15,E$3&lt;='Line Items'!$J15),'Line Items'!$H15/('Line Items'!$J15-'Line Items'!$I15+1),0)</f>
        <v>0</v>
      </c>
      <c r="F17" s="5">
        <f>IF(AND(F$3&gt;='Line Items'!$I15,F$3&lt;='Line Items'!$J15),'Line Items'!$H15/('Line Items'!$J15-'Line Items'!$I15+1),0)</f>
        <v>0</v>
      </c>
      <c r="G17" s="5">
        <f>IF(AND(G$3&gt;='Line Items'!$I15,G$3&lt;='Line Items'!$J15),'Line Items'!$H15/('Line Items'!$J15-'Line Items'!$I15+1),0)</f>
        <v>0</v>
      </c>
      <c r="H17" s="5">
        <f>IF(AND(H$3&gt;='Line Items'!$I15,H$3&lt;='Line Items'!$J15),'Line Items'!$H15/('Line Items'!$J15-'Line Items'!$I15+1),0)</f>
        <v>0</v>
      </c>
      <c r="I17" s="5">
        <f>IF(AND(I$3&gt;='Line Items'!$I15,I$3&lt;='Line Items'!$J15),'Line Items'!$H15/('Line Items'!$J15-'Line Items'!$I15+1),0)</f>
        <v>1250000</v>
      </c>
      <c r="J17" s="5">
        <f>IF(AND(J$3&gt;='Line Items'!$I15,J$3&lt;='Line Items'!$J15),'Line Items'!$H15/('Line Items'!$J15-'Line Items'!$I15+1),0)</f>
        <v>1250000</v>
      </c>
      <c r="K17" s="5">
        <f>IF(AND(K$3&gt;='Line Items'!$I15,K$3&lt;='Line Items'!$J15),'Line Items'!$H15/('Line Items'!$J15-'Line Items'!$I15+1),0)</f>
        <v>0</v>
      </c>
      <c r="L17" s="5">
        <f>IF(AND(L$3&gt;='Line Items'!$I15,L$3&lt;='Line Items'!$J15),'Line Items'!$H15/('Line Items'!$J15-'Line Items'!$I15+1),0)</f>
        <v>0</v>
      </c>
      <c r="M17" s="5">
        <f>IF(AND(M$3&gt;='Line Items'!$I15,M$3&lt;='Line Items'!$J15),'Line Items'!$H15/('Line Items'!$J15-'Line Items'!$I15+1),0)</f>
        <v>0</v>
      </c>
      <c r="N17" s="5">
        <f>IF(AND(N$3&gt;='Line Items'!$I15,N$3&lt;='Line Items'!$J15),'Line Items'!$H15/('Line Items'!$J15-'Line Items'!$I15+1),0)</f>
        <v>0</v>
      </c>
      <c r="O17" s="5">
        <f t="shared" si="0"/>
        <v>2500000</v>
      </c>
    </row>
    <row r="18" spans="1:15" x14ac:dyDescent="0.3">
      <c r="A18" s="4" t="str">
        <f>'Line Items'!A16</f>
        <v>S2</v>
      </c>
      <c r="B18" s="4" t="str">
        <f>'Line Items'!C16</f>
        <v>Tenant isolation and load testing</v>
      </c>
      <c r="C18" s="5">
        <f>IF(AND(C$3&gt;='Line Items'!$I16,C$3&lt;='Line Items'!$J16),'Line Items'!$H16/('Line Items'!$J16-'Line Items'!$I16+1),0)</f>
        <v>0</v>
      </c>
      <c r="D18" s="5">
        <f>IF(AND(D$3&gt;='Line Items'!$I16,D$3&lt;='Line Items'!$J16),'Line Items'!$H16/('Line Items'!$J16-'Line Items'!$I16+1),0)</f>
        <v>0</v>
      </c>
      <c r="E18" s="5">
        <f>IF(AND(E$3&gt;='Line Items'!$I16,E$3&lt;='Line Items'!$J16),'Line Items'!$H16/('Line Items'!$J16-'Line Items'!$I16+1),0)</f>
        <v>0</v>
      </c>
      <c r="F18" s="5">
        <f>IF(AND(F$3&gt;='Line Items'!$I16,F$3&lt;='Line Items'!$J16),'Line Items'!$H16/('Line Items'!$J16-'Line Items'!$I16+1),0)</f>
        <v>0</v>
      </c>
      <c r="G18" s="5">
        <f>IF(AND(G$3&gt;='Line Items'!$I16,G$3&lt;='Line Items'!$J16),'Line Items'!$H16/('Line Items'!$J16-'Line Items'!$I16+1),0)</f>
        <v>0</v>
      </c>
      <c r="H18" s="5">
        <f>IF(AND(H$3&gt;='Line Items'!$I16,H$3&lt;='Line Items'!$J16),'Line Items'!$H16/('Line Items'!$J16-'Line Items'!$I16+1),0)</f>
        <v>750000</v>
      </c>
      <c r="I18" s="5">
        <f>IF(AND(I$3&gt;='Line Items'!$I16,I$3&lt;='Line Items'!$J16),'Line Items'!$H16/('Line Items'!$J16-'Line Items'!$I16+1),0)</f>
        <v>750000</v>
      </c>
      <c r="J18" s="5">
        <f>IF(AND(J$3&gt;='Line Items'!$I16,J$3&lt;='Line Items'!$J16),'Line Items'!$H16/('Line Items'!$J16-'Line Items'!$I16+1),0)</f>
        <v>0</v>
      </c>
      <c r="K18" s="5">
        <f>IF(AND(K$3&gt;='Line Items'!$I16,K$3&lt;='Line Items'!$J16),'Line Items'!$H16/('Line Items'!$J16-'Line Items'!$I16+1),0)</f>
        <v>0</v>
      </c>
      <c r="L18" s="5">
        <f>IF(AND(L$3&gt;='Line Items'!$I16,L$3&lt;='Line Items'!$J16),'Line Items'!$H16/('Line Items'!$J16-'Line Items'!$I16+1),0)</f>
        <v>0</v>
      </c>
      <c r="M18" s="5">
        <f>IF(AND(M$3&gt;='Line Items'!$I16,M$3&lt;='Line Items'!$J16),'Line Items'!$H16/('Line Items'!$J16-'Line Items'!$I16+1),0)</f>
        <v>0</v>
      </c>
      <c r="N18" s="5">
        <f>IF(AND(N$3&gt;='Line Items'!$I16,N$3&lt;='Line Items'!$J16),'Line Items'!$H16/('Line Items'!$J16-'Line Items'!$I16+1),0)</f>
        <v>0</v>
      </c>
      <c r="O18" s="5">
        <f t="shared" si="0"/>
        <v>1500000</v>
      </c>
    </row>
    <row r="19" spans="1:15" x14ac:dyDescent="0.3">
      <c r="A19" s="4" t="str">
        <f>'Line Items'!A17</f>
        <v>S3</v>
      </c>
      <c r="B19" s="4" t="str">
        <f>'Line Items'!C17</f>
        <v>Data protection review and contract templates</v>
      </c>
      <c r="C19" s="5">
        <f>IF(AND(C$3&gt;='Line Items'!$I17,C$3&lt;='Line Items'!$J17),'Line Items'!$H17/('Line Items'!$J17-'Line Items'!$I17+1),0)</f>
        <v>0</v>
      </c>
      <c r="D19" s="5">
        <f>IF(AND(D$3&gt;='Line Items'!$I17,D$3&lt;='Line Items'!$J17),'Line Items'!$H17/('Line Items'!$J17-'Line Items'!$I17+1),0)</f>
        <v>0</v>
      </c>
      <c r="E19" s="5">
        <f>IF(AND(E$3&gt;='Line Items'!$I17,E$3&lt;='Line Items'!$J17),'Line Items'!$H17/('Line Items'!$J17-'Line Items'!$I17+1),0)</f>
        <v>600000</v>
      </c>
      <c r="F19" s="5">
        <f>IF(AND(F$3&gt;='Line Items'!$I17,F$3&lt;='Line Items'!$J17),'Line Items'!$H17/('Line Items'!$J17-'Line Items'!$I17+1),0)</f>
        <v>600000</v>
      </c>
      <c r="G19" s="5">
        <f>IF(AND(G$3&gt;='Line Items'!$I17,G$3&lt;='Line Items'!$J17),'Line Items'!$H17/('Line Items'!$J17-'Line Items'!$I17+1),0)</f>
        <v>600000</v>
      </c>
      <c r="H19" s="5">
        <f>IF(AND(H$3&gt;='Line Items'!$I17,H$3&lt;='Line Items'!$J17),'Line Items'!$H17/('Line Items'!$J17-'Line Items'!$I17+1),0)</f>
        <v>0</v>
      </c>
      <c r="I19" s="5">
        <f>IF(AND(I$3&gt;='Line Items'!$I17,I$3&lt;='Line Items'!$J17),'Line Items'!$H17/('Line Items'!$J17-'Line Items'!$I17+1),0)</f>
        <v>0</v>
      </c>
      <c r="J19" s="5">
        <f>IF(AND(J$3&gt;='Line Items'!$I17,J$3&lt;='Line Items'!$J17),'Line Items'!$H17/('Line Items'!$J17-'Line Items'!$I17+1),0)</f>
        <v>0</v>
      </c>
      <c r="K19" s="5">
        <f>IF(AND(K$3&gt;='Line Items'!$I17,K$3&lt;='Line Items'!$J17),'Line Items'!$H17/('Line Items'!$J17-'Line Items'!$I17+1),0)</f>
        <v>0</v>
      </c>
      <c r="L19" s="5">
        <f>IF(AND(L$3&gt;='Line Items'!$I17,L$3&lt;='Line Items'!$J17),'Line Items'!$H17/('Line Items'!$J17-'Line Items'!$I17+1),0)</f>
        <v>0</v>
      </c>
      <c r="M19" s="5">
        <f>IF(AND(M$3&gt;='Line Items'!$I17,M$3&lt;='Line Items'!$J17),'Line Items'!$H17/('Line Items'!$J17-'Line Items'!$I17+1),0)</f>
        <v>0</v>
      </c>
      <c r="N19" s="5">
        <f>IF(AND(N$3&gt;='Line Items'!$I17,N$3&lt;='Line Items'!$J17),'Line Items'!$H17/('Line Items'!$J17-'Line Items'!$I17+1),0)</f>
        <v>0</v>
      </c>
      <c r="O19" s="5">
        <f t="shared" si="0"/>
        <v>1800000</v>
      </c>
    </row>
    <row r="20" spans="1:15" x14ac:dyDescent="0.3">
      <c r="A20" s="4" t="str">
        <f>'Line Items'!A18</f>
        <v>S4</v>
      </c>
      <c r="B20" s="4" t="str">
        <f>'Line Items'!C18</f>
        <v>Security tooling and audit log storage</v>
      </c>
      <c r="C20" s="5">
        <f>IF(AND(C$3&gt;='Line Items'!$I18,C$3&lt;='Line Items'!$J18),'Line Items'!$H18/('Line Items'!$J18-'Line Items'!$I18+1),0)</f>
        <v>0</v>
      </c>
      <c r="D20" s="5">
        <f>IF(AND(D$3&gt;='Line Items'!$I18,D$3&lt;='Line Items'!$J18),'Line Items'!$H18/('Line Items'!$J18-'Line Items'!$I18+1),0)</f>
        <v>600000</v>
      </c>
      <c r="E20" s="5">
        <f>IF(AND(E$3&gt;='Line Items'!$I18,E$3&lt;='Line Items'!$J18),'Line Items'!$H18/('Line Items'!$J18-'Line Items'!$I18+1),0)</f>
        <v>600000</v>
      </c>
      <c r="F20" s="5">
        <f>IF(AND(F$3&gt;='Line Items'!$I18,F$3&lt;='Line Items'!$J18),'Line Items'!$H18/('Line Items'!$J18-'Line Items'!$I18+1),0)</f>
        <v>0</v>
      </c>
      <c r="G20" s="5">
        <f>IF(AND(G$3&gt;='Line Items'!$I18,G$3&lt;='Line Items'!$J18),'Line Items'!$H18/('Line Items'!$J18-'Line Items'!$I18+1),0)</f>
        <v>0</v>
      </c>
      <c r="H20" s="5">
        <f>IF(AND(H$3&gt;='Line Items'!$I18,H$3&lt;='Line Items'!$J18),'Line Items'!$H18/('Line Items'!$J18-'Line Items'!$I18+1),0)</f>
        <v>0</v>
      </c>
      <c r="I20" s="5">
        <f>IF(AND(I$3&gt;='Line Items'!$I18,I$3&lt;='Line Items'!$J18),'Line Items'!$H18/('Line Items'!$J18-'Line Items'!$I18+1),0)</f>
        <v>0</v>
      </c>
      <c r="J20" s="5">
        <f>IF(AND(J$3&gt;='Line Items'!$I18,J$3&lt;='Line Items'!$J18),'Line Items'!$H18/('Line Items'!$J18-'Line Items'!$I18+1),0)</f>
        <v>0</v>
      </c>
      <c r="K20" s="5">
        <f>IF(AND(K$3&gt;='Line Items'!$I18,K$3&lt;='Line Items'!$J18),'Line Items'!$H18/('Line Items'!$J18-'Line Items'!$I18+1),0)</f>
        <v>0</v>
      </c>
      <c r="L20" s="5">
        <f>IF(AND(L$3&gt;='Line Items'!$I18,L$3&lt;='Line Items'!$J18),'Line Items'!$H18/('Line Items'!$J18-'Line Items'!$I18+1),0)</f>
        <v>0</v>
      </c>
      <c r="M20" s="5">
        <f>IF(AND(M$3&gt;='Line Items'!$I18,M$3&lt;='Line Items'!$J18),'Line Items'!$H18/('Line Items'!$J18-'Line Items'!$I18+1),0)</f>
        <v>0</v>
      </c>
      <c r="N20" s="5">
        <f>IF(AND(N$3&gt;='Line Items'!$I18,N$3&lt;='Line Items'!$J18),'Line Items'!$H18/('Line Items'!$J18-'Line Items'!$I18+1),0)</f>
        <v>0</v>
      </c>
      <c r="O20" s="5">
        <f t="shared" si="0"/>
        <v>1200000</v>
      </c>
    </row>
    <row r="21" spans="1:15" x14ac:dyDescent="0.3">
      <c r="A21" s="4" t="str">
        <f>'Line Items'!A19</f>
        <v>I1</v>
      </c>
      <c r="B21" s="4" t="str">
        <f>'Line Items'!C19</f>
        <v>Cloud hosting</v>
      </c>
      <c r="C21" s="5">
        <f>IF(AND(C$3&gt;='Line Items'!$I19,C$3&lt;='Line Items'!$J19),'Line Items'!$H19/('Line Items'!$J19-'Line Items'!$I19+1),0)</f>
        <v>200000</v>
      </c>
      <c r="D21" s="5">
        <f>IF(AND(D$3&gt;='Line Items'!$I19,D$3&lt;='Line Items'!$J19),'Line Items'!$H19/('Line Items'!$J19-'Line Items'!$I19+1),0)</f>
        <v>200000</v>
      </c>
      <c r="E21" s="5">
        <f>IF(AND(E$3&gt;='Line Items'!$I19,E$3&lt;='Line Items'!$J19),'Line Items'!$H19/('Line Items'!$J19-'Line Items'!$I19+1),0)</f>
        <v>200000</v>
      </c>
      <c r="F21" s="5">
        <f>IF(AND(F$3&gt;='Line Items'!$I19,F$3&lt;='Line Items'!$J19),'Line Items'!$H19/('Line Items'!$J19-'Line Items'!$I19+1),0)</f>
        <v>200000</v>
      </c>
      <c r="G21" s="5">
        <f>IF(AND(G$3&gt;='Line Items'!$I19,G$3&lt;='Line Items'!$J19),'Line Items'!$H19/('Line Items'!$J19-'Line Items'!$I19+1),0)</f>
        <v>200000</v>
      </c>
      <c r="H21" s="5">
        <f>IF(AND(H$3&gt;='Line Items'!$I19,H$3&lt;='Line Items'!$J19),'Line Items'!$H19/('Line Items'!$J19-'Line Items'!$I19+1),0)</f>
        <v>200000</v>
      </c>
      <c r="I21" s="5">
        <f>IF(AND(I$3&gt;='Line Items'!$I19,I$3&lt;='Line Items'!$J19),'Line Items'!$H19/('Line Items'!$J19-'Line Items'!$I19+1),0)</f>
        <v>200000</v>
      </c>
      <c r="J21" s="5">
        <f>IF(AND(J$3&gt;='Line Items'!$I19,J$3&lt;='Line Items'!$J19),'Line Items'!$H19/('Line Items'!$J19-'Line Items'!$I19+1),0)</f>
        <v>200000</v>
      </c>
      <c r="K21" s="5">
        <f>IF(AND(K$3&gt;='Line Items'!$I19,K$3&lt;='Line Items'!$J19),'Line Items'!$H19/('Line Items'!$J19-'Line Items'!$I19+1),0)</f>
        <v>200000</v>
      </c>
      <c r="L21" s="5">
        <f>IF(AND(L$3&gt;='Line Items'!$I19,L$3&lt;='Line Items'!$J19),'Line Items'!$H19/('Line Items'!$J19-'Line Items'!$I19+1),0)</f>
        <v>200000</v>
      </c>
      <c r="M21" s="5">
        <f>IF(AND(M$3&gt;='Line Items'!$I19,M$3&lt;='Line Items'!$J19),'Line Items'!$H19/('Line Items'!$J19-'Line Items'!$I19+1),0)</f>
        <v>200000</v>
      </c>
      <c r="N21" s="5">
        <f>IF(AND(N$3&gt;='Line Items'!$I19,N$3&lt;='Line Items'!$J19),'Line Items'!$H19/('Line Items'!$J19-'Line Items'!$I19+1),0)</f>
        <v>200000</v>
      </c>
      <c r="O21" s="5">
        <f t="shared" si="0"/>
        <v>2400000</v>
      </c>
    </row>
    <row r="22" spans="1:15" x14ac:dyDescent="0.3">
      <c r="A22" s="4" t="str">
        <f>'Line Items'!A20</f>
        <v>I2</v>
      </c>
      <c r="B22" s="4" t="str">
        <f>'Line Items'!C20</f>
        <v>Language model usage</v>
      </c>
      <c r="C22" s="5">
        <f>IF(AND(C$3&gt;='Line Items'!$I20,C$3&lt;='Line Items'!$J20),'Line Items'!$H20/('Line Items'!$J20-'Line Items'!$I20+1),0)</f>
        <v>100000</v>
      </c>
      <c r="D22" s="5">
        <f>IF(AND(D$3&gt;='Line Items'!$I20,D$3&lt;='Line Items'!$J20),'Line Items'!$H20/('Line Items'!$J20-'Line Items'!$I20+1),0)</f>
        <v>100000</v>
      </c>
      <c r="E22" s="5">
        <f>IF(AND(E$3&gt;='Line Items'!$I20,E$3&lt;='Line Items'!$J20),'Line Items'!$H20/('Line Items'!$J20-'Line Items'!$I20+1),0)</f>
        <v>100000</v>
      </c>
      <c r="F22" s="5">
        <f>IF(AND(F$3&gt;='Line Items'!$I20,F$3&lt;='Line Items'!$J20),'Line Items'!$H20/('Line Items'!$J20-'Line Items'!$I20+1),0)</f>
        <v>100000</v>
      </c>
      <c r="G22" s="5">
        <f>IF(AND(G$3&gt;='Line Items'!$I20,G$3&lt;='Line Items'!$J20),'Line Items'!$H20/('Line Items'!$J20-'Line Items'!$I20+1),0)</f>
        <v>100000</v>
      </c>
      <c r="H22" s="5">
        <f>IF(AND(H$3&gt;='Line Items'!$I20,H$3&lt;='Line Items'!$J20),'Line Items'!$H20/('Line Items'!$J20-'Line Items'!$I20+1),0)</f>
        <v>100000</v>
      </c>
      <c r="I22" s="5">
        <f>IF(AND(I$3&gt;='Line Items'!$I20,I$3&lt;='Line Items'!$J20),'Line Items'!$H20/('Line Items'!$J20-'Line Items'!$I20+1),0)</f>
        <v>100000</v>
      </c>
      <c r="J22" s="5">
        <f>IF(AND(J$3&gt;='Line Items'!$I20,J$3&lt;='Line Items'!$J20),'Line Items'!$H20/('Line Items'!$J20-'Line Items'!$I20+1),0)</f>
        <v>100000</v>
      </c>
      <c r="K22" s="5">
        <f>IF(AND(K$3&gt;='Line Items'!$I20,K$3&lt;='Line Items'!$J20),'Line Items'!$H20/('Line Items'!$J20-'Line Items'!$I20+1),0)</f>
        <v>100000</v>
      </c>
      <c r="L22" s="5">
        <f>IF(AND(L$3&gt;='Line Items'!$I20,L$3&lt;='Line Items'!$J20),'Line Items'!$H20/('Line Items'!$J20-'Line Items'!$I20+1),0)</f>
        <v>100000</v>
      </c>
      <c r="M22" s="5">
        <f>IF(AND(M$3&gt;='Line Items'!$I20,M$3&lt;='Line Items'!$J20),'Line Items'!$H20/('Line Items'!$J20-'Line Items'!$I20+1),0)</f>
        <v>100000</v>
      </c>
      <c r="N22" s="5">
        <f>IF(AND(N$3&gt;='Line Items'!$I20,N$3&lt;='Line Items'!$J20),'Line Items'!$H20/('Line Items'!$J20-'Line Items'!$I20+1),0)</f>
        <v>100000</v>
      </c>
      <c r="O22" s="5">
        <f t="shared" si="0"/>
        <v>1200000</v>
      </c>
    </row>
    <row r="23" spans="1:15" x14ac:dyDescent="0.3">
      <c r="A23" s="4" t="str">
        <f>'Line Items'!A21</f>
        <v>I3</v>
      </c>
      <c r="B23" s="4" t="str">
        <f>'Line Items'!C21</f>
        <v>Software tools and licences</v>
      </c>
      <c r="C23" s="5">
        <f>IF(AND(C$3&gt;='Line Items'!$I21,C$3&lt;='Line Items'!$J21),'Line Items'!$H21/('Line Items'!$J21-'Line Items'!$I21+1),0)</f>
        <v>41666.666666666664</v>
      </c>
      <c r="D23" s="5">
        <f>IF(AND(D$3&gt;='Line Items'!$I21,D$3&lt;='Line Items'!$J21),'Line Items'!$H21/('Line Items'!$J21-'Line Items'!$I21+1),0)</f>
        <v>41666.666666666664</v>
      </c>
      <c r="E23" s="5">
        <f>IF(AND(E$3&gt;='Line Items'!$I21,E$3&lt;='Line Items'!$J21),'Line Items'!$H21/('Line Items'!$J21-'Line Items'!$I21+1),0)</f>
        <v>41666.666666666664</v>
      </c>
      <c r="F23" s="5">
        <f>IF(AND(F$3&gt;='Line Items'!$I21,F$3&lt;='Line Items'!$J21),'Line Items'!$H21/('Line Items'!$J21-'Line Items'!$I21+1),0)</f>
        <v>41666.666666666664</v>
      </c>
      <c r="G23" s="5">
        <f>IF(AND(G$3&gt;='Line Items'!$I21,G$3&lt;='Line Items'!$J21),'Line Items'!$H21/('Line Items'!$J21-'Line Items'!$I21+1),0)</f>
        <v>41666.666666666664</v>
      </c>
      <c r="H23" s="5">
        <f>IF(AND(H$3&gt;='Line Items'!$I21,H$3&lt;='Line Items'!$J21),'Line Items'!$H21/('Line Items'!$J21-'Line Items'!$I21+1),0)</f>
        <v>41666.666666666664</v>
      </c>
      <c r="I23" s="5">
        <f>IF(AND(I$3&gt;='Line Items'!$I21,I$3&lt;='Line Items'!$J21),'Line Items'!$H21/('Line Items'!$J21-'Line Items'!$I21+1),0)</f>
        <v>41666.666666666664</v>
      </c>
      <c r="J23" s="5">
        <f>IF(AND(J$3&gt;='Line Items'!$I21,J$3&lt;='Line Items'!$J21),'Line Items'!$H21/('Line Items'!$J21-'Line Items'!$I21+1),0)</f>
        <v>41666.666666666664</v>
      </c>
      <c r="K23" s="5">
        <f>IF(AND(K$3&gt;='Line Items'!$I21,K$3&lt;='Line Items'!$J21),'Line Items'!$H21/('Line Items'!$J21-'Line Items'!$I21+1),0)</f>
        <v>41666.666666666664</v>
      </c>
      <c r="L23" s="5">
        <f>IF(AND(L$3&gt;='Line Items'!$I21,L$3&lt;='Line Items'!$J21),'Line Items'!$H21/('Line Items'!$J21-'Line Items'!$I21+1),0)</f>
        <v>41666.666666666664</v>
      </c>
      <c r="M23" s="5">
        <f>IF(AND(M$3&gt;='Line Items'!$I21,M$3&lt;='Line Items'!$J21),'Line Items'!$H21/('Line Items'!$J21-'Line Items'!$I21+1),0)</f>
        <v>41666.666666666664</v>
      </c>
      <c r="N23" s="5">
        <f>IF(AND(N$3&gt;='Line Items'!$I21,N$3&lt;='Line Items'!$J21),'Line Items'!$H21/('Line Items'!$J21-'Line Items'!$I21+1),0)</f>
        <v>41666.666666666664</v>
      </c>
      <c r="O23" s="5">
        <f t="shared" si="0"/>
        <v>500000.00000000006</v>
      </c>
    </row>
    <row r="24" spans="1:15" x14ac:dyDescent="0.3">
      <c r="A24" s="4" t="str">
        <f>'Line Items'!A22</f>
        <v>I4</v>
      </c>
      <c r="B24" s="4" t="str">
        <f>'Line Items'!C22</f>
        <v>Domain, email, monitoring and backups</v>
      </c>
      <c r="C24" s="5">
        <f>IF(AND(C$3&gt;='Line Items'!$I22,C$3&lt;='Line Items'!$J22),'Line Items'!$H22/('Line Items'!$J22-'Line Items'!$I22+1),0)</f>
        <v>25000</v>
      </c>
      <c r="D24" s="5">
        <f>IF(AND(D$3&gt;='Line Items'!$I22,D$3&lt;='Line Items'!$J22),'Line Items'!$H22/('Line Items'!$J22-'Line Items'!$I22+1),0)</f>
        <v>25000</v>
      </c>
      <c r="E24" s="5">
        <f>IF(AND(E$3&gt;='Line Items'!$I22,E$3&lt;='Line Items'!$J22),'Line Items'!$H22/('Line Items'!$J22-'Line Items'!$I22+1),0)</f>
        <v>25000</v>
      </c>
      <c r="F24" s="5">
        <f>IF(AND(F$3&gt;='Line Items'!$I22,F$3&lt;='Line Items'!$J22),'Line Items'!$H22/('Line Items'!$J22-'Line Items'!$I22+1),0)</f>
        <v>25000</v>
      </c>
      <c r="G24" s="5">
        <f>IF(AND(G$3&gt;='Line Items'!$I22,G$3&lt;='Line Items'!$J22),'Line Items'!$H22/('Line Items'!$J22-'Line Items'!$I22+1),0)</f>
        <v>25000</v>
      </c>
      <c r="H24" s="5">
        <f>IF(AND(H$3&gt;='Line Items'!$I22,H$3&lt;='Line Items'!$J22),'Line Items'!$H22/('Line Items'!$J22-'Line Items'!$I22+1),0)</f>
        <v>25000</v>
      </c>
      <c r="I24" s="5">
        <f>IF(AND(I$3&gt;='Line Items'!$I22,I$3&lt;='Line Items'!$J22),'Line Items'!$H22/('Line Items'!$J22-'Line Items'!$I22+1),0)</f>
        <v>25000</v>
      </c>
      <c r="J24" s="5">
        <f>IF(AND(J$3&gt;='Line Items'!$I22,J$3&lt;='Line Items'!$J22),'Line Items'!$H22/('Line Items'!$J22-'Line Items'!$I22+1),0)</f>
        <v>25000</v>
      </c>
      <c r="K24" s="5">
        <f>IF(AND(K$3&gt;='Line Items'!$I22,K$3&lt;='Line Items'!$J22),'Line Items'!$H22/('Line Items'!$J22-'Line Items'!$I22+1),0)</f>
        <v>25000</v>
      </c>
      <c r="L24" s="5">
        <f>IF(AND(L$3&gt;='Line Items'!$I22,L$3&lt;='Line Items'!$J22),'Line Items'!$H22/('Line Items'!$J22-'Line Items'!$I22+1),0)</f>
        <v>25000</v>
      </c>
      <c r="M24" s="5">
        <f>IF(AND(M$3&gt;='Line Items'!$I22,M$3&lt;='Line Items'!$J22),'Line Items'!$H22/('Line Items'!$J22-'Line Items'!$I22+1),0)</f>
        <v>25000</v>
      </c>
      <c r="N24" s="5">
        <f>IF(AND(N$3&gt;='Line Items'!$I22,N$3&lt;='Line Items'!$J22),'Line Items'!$H22/('Line Items'!$J22-'Line Items'!$I22+1),0)</f>
        <v>25000</v>
      </c>
      <c r="O24" s="5">
        <f t="shared" si="0"/>
        <v>300000</v>
      </c>
    </row>
    <row r="25" spans="1:15" x14ac:dyDescent="0.3">
      <c r="A25" s="4" t="str">
        <f>'Line Items'!A23</f>
        <v>I5</v>
      </c>
      <c r="B25" s="4" t="str">
        <f>'Line Items'!C23</f>
        <v>Internet and test devices</v>
      </c>
      <c r="C25" s="5">
        <f>IF(AND(C$3&gt;='Line Items'!$I23,C$3&lt;='Line Items'!$J23),'Line Items'!$H23/('Line Items'!$J23-'Line Items'!$I23+1),0)</f>
        <v>50000</v>
      </c>
      <c r="D25" s="5">
        <f>IF(AND(D$3&gt;='Line Items'!$I23,D$3&lt;='Line Items'!$J23),'Line Items'!$H23/('Line Items'!$J23-'Line Items'!$I23+1),0)</f>
        <v>50000</v>
      </c>
      <c r="E25" s="5">
        <f>IF(AND(E$3&gt;='Line Items'!$I23,E$3&lt;='Line Items'!$J23),'Line Items'!$H23/('Line Items'!$J23-'Line Items'!$I23+1),0)</f>
        <v>50000</v>
      </c>
      <c r="F25" s="5">
        <f>IF(AND(F$3&gt;='Line Items'!$I23,F$3&lt;='Line Items'!$J23),'Line Items'!$H23/('Line Items'!$J23-'Line Items'!$I23+1),0)</f>
        <v>50000</v>
      </c>
      <c r="G25" s="5">
        <f>IF(AND(G$3&gt;='Line Items'!$I23,G$3&lt;='Line Items'!$J23),'Line Items'!$H23/('Line Items'!$J23-'Line Items'!$I23+1),0)</f>
        <v>50000</v>
      </c>
      <c r="H25" s="5">
        <f>IF(AND(H$3&gt;='Line Items'!$I23,H$3&lt;='Line Items'!$J23),'Line Items'!$H23/('Line Items'!$J23-'Line Items'!$I23+1),0)</f>
        <v>50000</v>
      </c>
      <c r="I25" s="5">
        <f>IF(AND(I$3&gt;='Line Items'!$I23,I$3&lt;='Line Items'!$J23),'Line Items'!$H23/('Line Items'!$J23-'Line Items'!$I23+1),0)</f>
        <v>50000</v>
      </c>
      <c r="J25" s="5">
        <f>IF(AND(J$3&gt;='Line Items'!$I23,J$3&lt;='Line Items'!$J23),'Line Items'!$H23/('Line Items'!$J23-'Line Items'!$I23+1),0)</f>
        <v>50000</v>
      </c>
      <c r="K25" s="5">
        <f>IF(AND(K$3&gt;='Line Items'!$I23,K$3&lt;='Line Items'!$J23),'Line Items'!$H23/('Line Items'!$J23-'Line Items'!$I23+1),0)</f>
        <v>50000</v>
      </c>
      <c r="L25" s="5">
        <f>IF(AND(L$3&gt;='Line Items'!$I23,L$3&lt;='Line Items'!$J23),'Line Items'!$H23/('Line Items'!$J23-'Line Items'!$I23+1),0)</f>
        <v>50000</v>
      </c>
      <c r="M25" s="5">
        <f>IF(AND(M$3&gt;='Line Items'!$I23,M$3&lt;='Line Items'!$J23),'Line Items'!$H23/('Line Items'!$J23-'Line Items'!$I23+1),0)</f>
        <v>50000</v>
      </c>
      <c r="N25" s="5">
        <f>IF(AND(N$3&gt;='Line Items'!$I23,N$3&lt;='Line Items'!$J23),'Line Items'!$H23/('Line Items'!$J23-'Line Items'!$I23+1),0)</f>
        <v>50000</v>
      </c>
      <c r="O25" s="5">
        <f t="shared" si="0"/>
        <v>600000</v>
      </c>
    </row>
    <row r="26" spans="1:15" ht="15" thickBot="1" x14ac:dyDescent="0.35">
      <c r="A26" s="4" t="str">
        <f>'Line Items'!A24</f>
        <v>C1</v>
      </c>
      <c r="B26" s="4" t="str">
        <f>'Line Items'!C24</f>
        <v>Contingency reserve</v>
      </c>
      <c r="C26" s="5">
        <f>IF(AND(C$3&gt;='Line Items'!$I24,C$3&lt;='Line Items'!$J24),'Line Items'!$H24/('Line Items'!$J24-'Line Items'!$I24+1),0)</f>
        <v>0</v>
      </c>
      <c r="D26" s="5">
        <f>IF(AND(D$3&gt;='Line Items'!$I24,D$3&lt;='Line Items'!$J24),'Line Items'!$H24/('Line Items'!$J24-'Line Items'!$I24+1),0)</f>
        <v>0</v>
      </c>
      <c r="E26" s="5">
        <f>IF(AND(E$3&gt;='Line Items'!$I24,E$3&lt;='Line Items'!$J24),'Line Items'!$H24/('Line Items'!$J24-'Line Items'!$I24+1),0)</f>
        <v>0</v>
      </c>
      <c r="F26" s="5">
        <f>IF(AND(F$3&gt;='Line Items'!$I24,F$3&lt;='Line Items'!$J24),'Line Items'!$H24/('Line Items'!$J24-'Line Items'!$I24+1),0)</f>
        <v>0</v>
      </c>
      <c r="G26" s="5">
        <f>IF(AND(G$3&gt;='Line Items'!$I24,G$3&lt;='Line Items'!$J24),'Line Items'!$H24/('Line Items'!$J24-'Line Items'!$I24+1),0)</f>
        <v>0</v>
      </c>
      <c r="H26" s="5">
        <f>IF(AND(H$3&gt;='Line Items'!$I24,H$3&lt;='Line Items'!$J24),'Line Items'!$H24/('Line Items'!$J24-'Line Items'!$I24+1),0)</f>
        <v>0</v>
      </c>
      <c r="I26" s="5">
        <f>IF(AND(I$3&gt;='Line Items'!$I24,I$3&lt;='Line Items'!$J24),'Line Items'!$H24/('Line Items'!$J24-'Line Items'!$I24+1),0)</f>
        <v>0</v>
      </c>
      <c r="J26" s="5">
        <f>IF(AND(J$3&gt;='Line Items'!$I24,J$3&lt;='Line Items'!$J24),'Line Items'!$H24/('Line Items'!$J24-'Line Items'!$I24+1),0)</f>
        <v>0</v>
      </c>
      <c r="K26" s="5">
        <f>IF(AND(K$3&gt;='Line Items'!$I24,K$3&lt;='Line Items'!$J24),'Line Items'!$H24/('Line Items'!$J24-'Line Items'!$I24+1),0)</f>
        <v>0</v>
      </c>
      <c r="L26" s="5">
        <f>IF(AND(L$3&gt;='Line Items'!$I24,L$3&lt;='Line Items'!$J24),'Line Items'!$H24/('Line Items'!$J24-'Line Items'!$I24+1),0)</f>
        <v>0</v>
      </c>
      <c r="M26" s="5">
        <f>IF(AND(M$3&gt;='Line Items'!$I24,M$3&lt;='Line Items'!$J24),'Line Items'!$H24/('Line Items'!$J24-'Line Items'!$I24+1),0)</f>
        <v>0</v>
      </c>
      <c r="N26" s="5">
        <f>IF(AND(N$3&gt;='Line Items'!$I24,N$3&lt;='Line Items'!$J24),'Line Items'!$H24/('Line Items'!$J24-'Line Items'!$I24+1),0)</f>
        <v>2000000</v>
      </c>
      <c r="O26" s="5">
        <f t="shared" si="0"/>
        <v>2000000</v>
      </c>
    </row>
    <row r="27" spans="1:15" x14ac:dyDescent="0.3">
      <c r="A27" s="20"/>
      <c r="B27" s="7" t="s">
        <v>106</v>
      </c>
      <c r="C27" s="8">
        <f t="shared" ref="C27:O27" si="1">SUM(C4:C26)</f>
        <v>3249999.9999999995</v>
      </c>
      <c r="D27" s="8">
        <f t="shared" si="1"/>
        <v>5133333.333333333</v>
      </c>
      <c r="E27" s="8">
        <f t="shared" si="1"/>
        <v>7063333.333333334</v>
      </c>
      <c r="F27" s="8">
        <f t="shared" si="1"/>
        <v>5541111.1111111119</v>
      </c>
      <c r="G27" s="8">
        <f t="shared" si="1"/>
        <v>4041111.111111111</v>
      </c>
      <c r="H27" s="8">
        <f t="shared" si="1"/>
        <v>5524444.444444445</v>
      </c>
      <c r="I27" s="8">
        <f t="shared" si="1"/>
        <v>5524444.444444445</v>
      </c>
      <c r="J27" s="8">
        <f t="shared" si="1"/>
        <v>4691111.111111111</v>
      </c>
      <c r="K27" s="8">
        <f t="shared" si="1"/>
        <v>2607777.7777777775</v>
      </c>
      <c r="L27" s="8">
        <f t="shared" si="1"/>
        <v>1857777.7777777778</v>
      </c>
      <c r="M27" s="8">
        <f t="shared" si="1"/>
        <v>1857777.7777777778</v>
      </c>
      <c r="N27" s="8">
        <f t="shared" si="1"/>
        <v>2907777.777777778</v>
      </c>
      <c r="O27" s="8">
        <f t="shared" si="1"/>
        <v>50000000</v>
      </c>
    </row>
    <row r="28" spans="1:15" x14ac:dyDescent="0.3">
      <c r="A28" s="22"/>
      <c r="B28" s="23" t="s">
        <v>107</v>
      </c>
      <c r="C28" s="24">
        <f>C27</f>
        <v>3249999.9999999995</v>
      </c>
      <c r="D28" s="24">
        <f t="shared" ref="D28:N28" si="2">C28+D27</f>
        <v>8383333.3333333321</v>
      </c>
      <c r="E28" s="24">
        <f t="shared" si="2"/>
        <v>15446666.666666666</v>
      </c>
      <c r="F28" s="24">
        <f t="shared" si="2"/>
        <v>20987777.777777776</v>
      </c>
      <c r="G28" s="24">
        <f t="shared" si="2"/>
        <v>25028888.888888888</v>
      </c>
      <c r="H28" s="24">
        <f t="shared" si="2"/>
        <v>30553333.333333332</v>
      </c>
      <c r="I28" s="24">
        <f t="shared" si="2"/>
        <v>36077777.777777776</v>
      </c>
      <c r="J28" s="24">
        <f t="shared" si="2"/>
        <v>40768888.888888888</v>
      </c>
      <c r="K28" s="24">
        <f t="shared" si="2"/>
        <v>43376666.666666664</v>
      </c>
      <c r="L28" s="24">
        <f t="shared" si="2"/>
        <v>45234444.44444444</v>
      </c>
      <c r="M28" s="24">
        <f t="shared" si="2"/>
        <v>47092222.222222216</v>
      </c>
      <c r="N28" s="24">
        <f t="shared" si="2"/>
        <v>49999999.999999993</v>
      </c>
      <c r="O28" s="22"/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Assumptions</vt:lpstr>
      <vt:lpstr>Line Items</vt:lpstr>
      <vt:lpstr>Monthly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HaqqAI project budget</dc:title>
  <dc:creator>HaqqAI</dc:creator>
  <cp:lastModifiedBy>NAHEEM QUADRI</cp:lastModifiedBy>
  <dcterms:created xsi:type="dcterms:W3CDTF">2026-09-19T16:44:39Z</dcterms:created>
  <dcterms:modified xsi:type="dcterms:W3CDTF">2026-09-19T19:30:21Z</dcterms:modified>
</cp:coreProperties>
</file>